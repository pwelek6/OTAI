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it\esma\DEVTAI\SuppXLS\"/>
    </mc:Choice>
  </mc:AlternateContent>
  <xr:revisionPtr revIDLastSave="0" documentId="13_ncr:1_{52299159-3993-49DE-AD05-A17F34A835AB}" xr6:coauthVersionLast="47" xr6:coauthVersionMax="47" xr10:uidLastSave="{00000000-0000-0000-0000-000000000000}"/>
  <bookViews>
    <workbookView xWindow="57000" yWindow="3825" windowWidth="38505" windowHeight="15345" xr2:uid="{00000000-000D-0000-FFFF-FFFF00000000}"/>
  </bookViews>
  <sheets>
    <sheet name="ELC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7" l="1"/>
  <c r="C7" i="7"/>
  <c r="C8" i="7"/>
  <c r="C30" i="7"/>
  <c r="C9" i="7"/>
  <c r="C10" i="7"/>
  <c r="C11" i="7"/>
  <c r="C12" i="7"/>
  <c r="H6" i="7"/>
  <c r="H7" i="7"/>
  <c r="H8" i="7"/>
  <c r="H30" i="7"/>
  <c r="H9" i="7"/>
  <c r="H12" i="7"/>
  <c r="P11" i="7"/>
  <c r="P12" i="7"/>
  <c r="P13" i="7"/>
  <c r="P7" i="7"/>
  <c r="P8" i="7"/>
  <c r="P9" i="7"/>
  <c r="P30" i="7"/>
  <c r="P10" i="7"/>
  <c r="P5" i="7"/>
  <c r="H5" i="7"/>
  <c r="G5" i="7"/>
  <c r="G6" i="7"/>
  <c r="G7" i="7"/>
  <c r="G8" i="7"/>
  <c r="G30" i="7"/>
  <c r="G9" i="7"/>
  <c r="G10" i="7"/>
  <c r="G11" i="7"/>
  <c r="G12" i="7"/>
  <c r="A6" i="7"/>
  <c r="J6" i="7"/>
  <c r="J7" i="7"/>
  <c r="A7" i="7"/>
  <c r="J5" i="7"/>
  <c r="A5" i="7"/>
  <c r="J30" i="7"/>
  <c r="J9" i="7"/>
  <c r="J10" i="7"/>
  <c r="J11" i="7"/>
  <c r="J12" i="7"/>
  <c r="J8" i="7"/>
  <c r="A30" i="7"/>
  <c r="A9" i="7"/>
  <c r="A10" i="7"/>
  <c r="A11" i="7"/>
  <c r="A12" i="7"/>
  <c r="A8" i="7" l="1"/>
</calcChain>
</file>

<file path=xl/sharedStrings.xml><?xml version="1.0" encoding="utf-8"?>
<sst xmlns="http://schemas.openxmlformats.org/spreadsheetml/2006/main" count="98" uniqueCount="44">
  <si>
    <t>~UC_Sets: R_E: AllRegions</t>
  </si>
  <si>
    <t>UC_N</t>
  </si>
  <si>
    <t>Year</t>
  </si>
  <si>
    <t>~UC_T</t>
  </si>
  <si>
    <t>UC_CAP</t>
  </si>
  <si>
    <t>LimType</t>
  </si>
  <si>
    <t>UC_Desc</t>
  </si>
  <si>
    <t>UC_CAP~RHS</t>
  </si>
  <si>
    <t>CAP, GROWTH</t>
  </si>
  <si>
    <t>Max growth rate</t>
  </si>
  <si>
    <t>ELC</t>
  </si>
  <si>
    <t>Pset_Set</t>
  </si>
  <si>
    <t>Starting Seed value (GW)</t>
  </si>
  <si>
    <t>Solar PV</t>
  </si>
  <si>
    <t>Solar Thermal</t>
  </si>
  <si>
    <t>Onshore Wind</t>
  </si>
  <si>
    <t>Offshore Wind</t>
  </si>
  <si>
    <t>Municipal Solid Waste</t>
  </si>
  <si>
    <t>Nuclear</t>
  </si>
  <si>
    <t>Biomass</t>
  </si>
  <si>
    <t>Hydro</t>
  </si>
  <si>
    <t>Geothermal</t>
  </si>
  <si>
    <t>UP</t>
  </si>
  <si>
    <t>UC_ATTR~RHS</t>
  </si>
  <si>
    <t>~UC_Sets: T_SUC:</t>
  </si>
  <si>
    <t>Attribute</t>
  </si>
  <si>
    <t>AllRegions</t>
  </si>
  <si>
    <t>NCAP_BND</t>
  </si>
  <si>
    <t>FX</t>
  </si>
  <si>
    <t>UC_RHSRT</t>
  </si>
  <si>
    <t>UC_RHSRT~0</t>
  </si>
  <si>
    <t>PS_ELC_BMS</t>
  </si>
  <si>
    <t>PS_ELC_GEO</t>
  </si>
  <si>
    <t>PS_ELC_WAT</t>
  </si>
  <si>
    <t>PS_ELC_MSW</t>
  </si>
  <si>
    <t>PS_ELC_NUC</t>
  </si>
  <si>
    <t>PS_ELC_STH</t>
  </si>
  <si>
    <t>PS_ELC_SPV</t>
  </si>
  <si>
    <t>PS_ELC_WNO</t>
  </si>
  <si>
    <t>PS_ELC_WNF</t>
  </si>
  <si>
    <t>~TFM_INS</t>
  </si>
  <si>
    <t>2024, 2025</t>
  </si>
  <si>
    <t>2024, 2025, 2026</t>
  </si>
  <si>
    <t>PS_ELC_NGA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</si>
</sst>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2"/>
      <color theme="9"/>
      <name val="Calibri"/>
      <family val="2"/>
    </font>
    <font>
      <sz val="12"/>
      <color theme="9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rgb="FF000000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1" fillId="0" borderId="0"/>
    <xf numFmtId="0" fontId="3" fillId="0" borderId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4" fillId="0" borderId="0" xfId="0" applyFont="1"/>
    <xf numFmtId="9" fontId="0" fillId="0" borderId="0" xfId="0" applyNumberFormat="1"/>
    <xf numFmtId="164" fontId="4" fillId="0" borderId="0" xfId="0" applyNumberFormat="1" applyFont="1"/>
    <xf numFmtId="2" fontId="4" fillId="0" borderId="0" xfId="0" applyNumberFormat="1" applyFont="1"/>
    <xf numFmtId="3" fontId="4" fillId="0" borderId="0" xfId="0" quotePrefix="1" applyNumberFormat="1" applyFont="1"/>
    <xf numFmtId="0" fontId="5" fillId="0" borderId="0" xfId="0" applyFont="1"/>
    <xf numFmtId="0" fontId="6" fillId="0" borderId="0" xfId="0" applyFont="1"/>
    <xf numFmtId="0" fontId="2" fillId="2" borderId="0" xfId="0" applyFont="1" applyFill="1"/>
    <xf numFmtId="0" fontId="7" fillId="0" borderId="0" xfId="4"/>
  </cellXfs>
  <cellStyles count="5">
    <cellStyle name="Normal" xfId="0" builtinId="0"/>
    <cellStyle name="Normal 10" xfId="1" xr:uid="{00000000-0005-0000-0000-000001000000}"/>
    <cellStyle name="Normal 2" xfId="3" xr:uid="{5E6B40A5-B6D5-4429-A5CC-31DF56B3545F}"/>
    <cellStyle name="Normale_Scen_UC_IND-StrucConst" xfId="2" xr:uid="{00000000-0005-0000-0000-000002000000}"/>
    <cellStyle name="Warning Text" xfId="4" builtin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SMA_Excel_Theme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ESMA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0"/>
  <sheetViews>
    <sheetView tabSelected="1" workbookViewId="0">
      <selection activeCell="J19" sqref="J19"/>
    </sheetView>
  </sheetViews>
  <sheetFormatPr defaultRowHeight="15" x14ac:dyDescent="0.25"/>
  <cols>
    <col min="1" max="1" width="33.5703125" bestFit="1" customWidth="1"/>
    <col min="2" max="2" width="14.5703125" bestFit="1" customWidth="1"/>
    <col min="3" max="3" width="15.5703125" bestFit="1" customWidth="1"/>
    <col min="4" max="4" width="5.140625" bestFit="1" customWidth="1"/>
    <col min="5" max="5" width="14.28515625" bestFit="1" customWidth="1"/>
    <col min="6" max="6" width="20.85546875" bestFit="1" customWidth="1"/>
    <col min="7" max="7" width="15.5703125" bestFit="1" customWidth="1"/>
    <col min="8" max="8" width="23.42578125" bestFit="1" customWidth="1"/>
    <col min="9" max="9" width="13.140625" bestFit="1" customWidth="1"/>
    <col min="10" max="10" width="47.5703125" bestFit="1" customWidth="1"/>
    <col min="11" max="11" width="15.5703125" bestFit="1" customWidth="1"/>
    <col min="12" max="12" width="11.85546875" customWidth="1"/>
    <col min="13" max="13" width="39.42578125" bestFit="1" customWidth="1"/>
    <col min="14" max="14" width="33.140625" bestFit="1" customWidth="1"/>
    <col min="15" max="15" width="10.85546875" bestFit="1" customWidth="1"/>
    <col min="16" max="16" width="14.28515625" bestFit="1" customWidth="1"/>
    <col min="17" max="17" width="8.42578125" bestFit="1" customWidth="1"/>
    <col min="18" max="18" width="10.42578125" bestFit="1" customWidth="1"/>
  </cols>
  <sheetData>
    <row r="1" spans="1:18" ht="15.75" x14ac:dyDescent="0.25">
      <c r="A1" s="6" t="s">
        <v>0</v>
      </c>
      <c r="B1" s="7"/>
      <c r="C1" s="7"/>
      <c r="D1" s="7"/>
      <c r="E1" s="7"/>
      <c r="F1" s="1"/>
      <c r="G1" s="1"/>
      <c r="H1" s="1"/>
      <c r="I1" s="1"/>
      <c r="J1" s="1"/>
      <c r="K1" s="1"/>
      <c r="L1" s="1"/>
      <c r="M1" s="1"/>
    </row>
    <row r="2" spans="1:18" ht="15.75" x14ac:dyDescent="0.25">
      <c r="A2" s="6" t="s">
        <v>24</v>
      </c>
      <c r="B2" s="7"/>
      <c r="C2" s="7"/>
      <c r="D2" s="7"/>
      <c r="E2" s="7"/>
      <c r="F2" s="1"/>
      <c r="G2" s="1"/>
      <c r="H2" s="1"/>
      <c r="I2" s="1"/>
      <c r="J2" s="1"/>
      <c r="K2" s="1"/>
      <c r="L2" s="1"/>
      <c r="M2" s="1"/>
    </row>
    <row r="3" spans="1:18" ht="15.75" x14ac:dyDescent="0.25">
      <c r="A3" s="7"/>
      <c r="B3" s="7"/>
      <c r="C3" s="7"/>
      <c r="D3" s="7"/>
      <c r="E3" s="6" t="s">
        <v>3</v>
      </c>
      <c r="F3" s="1"/>
      <c r="G3" s="1"/>
      <c r="H3" s="1"/>
      <c r="I3" s="1"/>
      <c r="J3" s="1"/>
      <c r="N3" s="6" t="s">
        <v>40</v>
      </c>
      <c r="O3" s="1"/>
      <c r="R3" s="1"/>
    </row>
    <row r="4" spans="1:18" x14ac:dyDescent="0.25">
      <c r="A4" s="8" t="s">
        <v>1</v>
      </c>
      <c r="B4" s="8" t="s">
        <v>23</v>
      </c>
      <c r="C4" s="8" t="s">
        <v>11</v>
      </c>
      <c r="D4" s="8" t="s">
        <v>2</v>
      </c>
      <c r="E4" s="8" t="s">
        <v>5</v>
      </c>
      <c r="F4" s="8" t="s">
        <v>4</v>
      </c>
      <c r="G4" s="8" t="s">
        <v>7</v>
      </c>
      <c r="H4" s="8" t="s">
        <v>29</v>
      </c>
      <c r="I4" s="8" t="s">
        <v>30</v>
      </c>
      <c r="J4" s="8" t="s">
        <v>6</v>
      </c>
      <c r="N4" s="8" t="s">
        <v>2</v>
      </c>
      <c r="O4" s="8" t="s">
        <v>25</v>
      </c>
      <c r="P4" s="8" t="s">
        <v>11</v>
      </c>
      <c r="Q4" s="8" t="s">
        <v>5</v>
      </c>
      <c r="R4" s="8" t="s">
        <v>26</v>
      </c>
    </row>
    <row r="5" spans="1:18" x14ac:dyDescent="0.25">
      <c r="A5" s="1" t="str">
        <f t="shared" ref="A5:A12" si="0">_xlfn.TEXTJOIN("_",TRUE,"UC",D18,"MaxGrowth",E18)</f>
        <v>UC_ELC_MaxGrowth_PS_ELC_BMS</v>
      </c>
      <c r="B5" s="1" t="s">
        <v>8</v>
      </c>
      <c r="C5" s="9" t="s">
        <v>31</v>
      </c>
      <c r="D5" s="1">
        <v>2025</v>
      </c>
      <c r="E5" s="1" t="s">
        <v>22</v>
      </c>
      <c r="F5" s="4">
        <v>1</v>
      </c>
      <c r="G5" s="4">
        <f t="shared" ref="G5:G12" si="1">1+$G18</f>
        <v>1.1000000000000001</v>
      </c>
      <c r="H5" s="3">
        <f t="shared" ref="H5:H10" si="2">H18</f>
        <v>0.01</v>
      </c>
      <c r="I5" s="1">
        <v>5</v>
      </c>
      <c r="J5" s="1" t="str">
        <f t="shared" ref="J5:J12" si="3">_xlfn.TEXTJOIN(" ",TRUE,D18, "maximum growth rate of",F18)</f>
        <v>ELC maximum growth rate of Biomass</v>
      </c>
      <c r="N5" s="5" t="s">
        <v>41</v>
      </c>
      <c r="O5" t="s">
        <v>27</v>
      </c>
      <c r="P5" t="str">
        <f>E18</f>
        <v>PS_ELC_BMS</v>
      </c>
      <c r="Q5" s="1" t="s">
        <v>28</v>
      </c>
      <c r="R5" s="1">
        <v>0</v>
      </c>
    </row>
    <row r="6" spans="1:18" x14ac:dyDescent="0.25">
      <c r="A6" s="1" t="str">
        <f t="shared" si="0"/>
        <v>UC_ELC_MaxGrowth_PS_ELC_GEO</v>
      </c>
      <c r="B6" s="1" t="s">
        <v>8</v>
      </c>
      <c r="C6" t="str">
        <f t="shared" ref="C6:C12" si="4">E19</f>
        <v>PS_ELC_GEO</v>
      </c>
      <c r="D6" s="1">
        <v>2025</v>
      </c>
      <c r="E6" s="1" t="s">
        <v>22</v>
      </c>
      <c r="F6" s="4">
        <v>1</v>
      </c>
      <c r="G6" s="4">
        <f t="shared" si="1"/>
        <v>1.1000000000000001</v>
      </c>
      <c r="H6" s="3">
        <f t="shared" si="2"/>
        <v>2.5000000000000001E-2</v>
      </c>
      <c r="I6" s="1">
        <v>5</v>
      </c>
      <c r="J6" s="1" t="str">
        <f t="shared" si="3"/>
        <v>ELC maximum growth rate of Geothermal</v>
      </c>
      <c r="N6" s="5" t="s">
        <v>41</v>
      </c>
      <c r="O6" t="s">
        <v>27</v>
      </c>
      <c r="P6" t="s">
        <v>43</v>
      </c>
      <c r="Q6" s="1" t="s">
        <v>28</v>
      </c>
      <c r="R6" s="1">
        <v>0</v>
      </c>
    </row>
    <row r="7" spans="1:18" x14ac:dyDescent="0.25">
      <c r="A7" s="1" t="str">
        <f t="shared" si="0"/>
        <v>UC_ELC_MaxGrowth_PS_ELC_WAT</v>
      </c>
      <c r="B7" s="1" t="s">
        <v>8</v>
      </c>
      <c r="C7" t="str">
        <f t="shared" si="4"/>
        <v>PS_ELC_WAT</v>
      </c>
      <c r="D7" s="1">
        <v>2025</v>
      </c>
      <c r="E7" s="1" t="s">
        <v>22</v>
      </c>
      <c r="F7" s="4">
        <v>1</v>
      </c>
      <c r="G7" s="4">
        <f t="shared" si="1"/>
        <v>1</v>
      </c>
      <c r="H7" s="3">
        <f t="shared" si="2"/>
        <v>0.216</v>
      </c>
      <c r="I7" s="1">
        <v>5</v>
      </c>
      <c r="J7" s="1" t="str">
        <f t="shared" si="3"/>
        <v>ELC maximum growth rate of Hydro</v>
      </c>
      <c r="N7" s="5" t="s">
        <v>41</v>
      </c>
      <c r="O7" t="s">
        <v>27</v>
      </c>
      <c r="P7" t="str">
        <f t="shared" ref="P7:P14" si="5">E19</f>
        <v>PS_ELC_GEO</v>
      </c>
      <c r="Q7" s="1" t="s">
        <v>28</v>
      </c>
      <c r="R7" s="1">
        <v>0</v>
      </c>
    </row>
    <row r="8" spans="1:18" x14ac:dyDescent="0.25">
      <c r="A8" s="1" t="str">
        <f t="shared" si="0"/>
        <v>UC_ELC_MaxGrowth_PS_ELC_MSW</v>
      </c>
      <c r="B8" s="1" t="s">
        <v>8</v>
      </c>
      <c r="C8" t="str">
        <f t="shared" si="4"/>
        <v>PS_ELC_MSW</v>
      </c>
      <c r="D8" s="1">
        <v>2025</v>
      </c>
      <c r="E8" s="1" t="s">
        <v>22</v>
      </c>
      <c r="F8" s="4">
        <v>1</v>
      </c>
      <c r="G8" s="4">
        <f t="shared" si="1"/>
        <v>1.05</v>
      </c>
      <c r="H8" s="3">
        <f t="shared" si="2"/>
        <v>0.4</v>
      </c>
      <c r="I8" s="1">
        <v>5</v>
      </c>
      <c r="J8" s="1" t="str">
        <f t="shared" si="3"/>
        <v>ELC maximum growth rate of Municipal Solid Waste</v>
      </c>
      <c r="N8" s="5" t="s">
        <v>41</v>
      </c>
      <c r="O8" t="s">
        <v>27</v>
      </c>
      <c r="P8" t="str">
        <f t="shared" si="5"/>
        <v>PS_ELC_WAT</v>
      </c>
      <c r="Q8" s="1" t="s">
        <v>28</v>
      </c>
      <c r="R8" s="1">
        <v>0</v>
      </c>
    </row>
    <row r="9" spans="1:18" x14ac:dyDescent="0.25">
      <c r="A9" s="1" t="str">
        <f>_xlfn.TEXTJOIN("_",TRUE,"UC",D23,"MaxGrowth",E23)</f>
        <v>UC_ELC_MaxGrowth_PS_ELC_STH</v>
      </c>
      <c r="B9" s="1" t="s">
        <v>8</v>
      </c>
      <c r="C9" t="str">
        <f>E23</f>
        <v>PS_ELC_STH</v>
      </c>
      <c r="D9" s="1">
        <v>2025</v>
      </c>
      <c r="E9" s="1" t="s">
        <v>22</v>
      </c>
      <c r="F9" s="4">
        <v>1</v>
      </c>
      <c r="G9" s="4">
        <f>1+$G23</f>
        <v>1.05</v>
      </c>
      <c r="H9" s="3">
        <f>H23</f>
        <v>1E-4</v>
      </c>
      <c r="I9" s="1">
        <v>5</v>
      </c>
      <c r="J9" s="1" t="str">
        <f>_xlfn.TEXTJOIN(" ",TRUE,D23, "maximum growth rate of",F23)</f>
        <v>ELC maximum growth rate of Solar Thermal</v>
      </c>
      <c r="N9" s="5" t="s">
        <v>41</v>
      </c>
      <c r="O9" t="s">
        <v>27</v>
      </c>
      <c r="P9" t="str">
        <f t="shared" si="5"/>
        <v>PS_ELC_MSW</v>
      </c>
      <c r="Q9" s="1" t="s">
        <v>28</v>
      </c>
      <c r="R9" s="1">
        <v>0</v>
      </c>
    </row>
    <row r="10" spans="1:18" x14ac:dyDescent="0.25">
      <c r="A10" s="1" t="str">
        <f>_xlfn.TEXTJOIN("_",TRUE,"UC",D24,"MaxGrowth",E24)</f>
        <v>UC_ELC_MaxGrowth_PS_ELC_SPV</v>
      </c>
      <c r="B10" s="1" t="s">
        <v>8</v>
      </c>
      <c r="C10" t="str">
        <f>E24</f>
        <v>PS_ELC_SPV</v>
      </c>
      <c r="D10" s="1">
        <v>2025</v>
      </c>
      <c r="E10" s="1" t="s">
        <v>22</v>
      </c>
      <c r="F10" s="4">
        <v>1</v>
      </c>
      <c r="G10" s="4">
        <f>1+$G24</f>
        <v>1.22</v>
      </c>
      <c r="H10" s="3">
        <v>0.2</v>
      </c>
      <c r="I10" s="1">
        <v>5</v>
      </c>
      <c r="J10" s="1" t="str">
        <f>_xlfn.TEXTJOIN(" ",TRUE,D24, "maximum growth rate of",F24)</f>
        <v>ELC maximum growth rate of Solar PV</v>
      </c>
      <c r="N10" s="5" t="s">
        <v>41</v>
      </c>
      <c r="O10" t="s">
        <v>27</v>
      </c>
      <c r="P10" t="str">
        <f>E23</f>
        <v>PS_ELC_STH</v>
      </c>
      <c r="Q10" s="1" t="s">
        <v>28</v>
      </c>
      <c r="R10" s="1">
        <v>0</v>
      </c>
    </row>
    <row r="11" spans="1:18" x14ac:dyDescent="0.25">
      <c r="A11" s="1" t="str">
        <f>_xlfn.TEXTJOIN("_",TRUE,"UC",D25,"MaxGrowth",E25)</f>
        <v>UC_ELC_MaxGrowth_PS_ELC_WNO</v>
      </c>
      <c r="B11" s="1" t="s">
        <v>8</v>
      </c>
      <c r="C11" t="str">
        <f>E25</f>
        <v>PS_ELC_WNO</v>
      </c>
      <c r="D11" s="1">
        <v>2025</v>
      </c>
      <c r="E11" s="1" t="s">
        <v>22</v>
      </c>
      <c r="F11" s="4">
        <v>1</v>
      </c>
      <c r="G11" s="4">
        <f>1+$G25</f>
        <v>1.1100000000000001</v>
      </c>
      <c r="H11" s="3">
        <v>11.2</v>
      </c>
      <c r="I11" s="1">
        <v>5</v>
      </c>
      <c r="J11" s="1" t="str">
        <f>_xlfn.TEXTJOIN(" ",TRUE,D25, "maximum growth rate of",F25)</f>
        <v>ELC maximum growth rate of Onshore Wind</v>
      </c>
      <c r="N11" s="5" t="s">
        <v>42</v>
      </c>
      <c r="O11" t="s">
        <v>27</v>
      </c>
      <c r="P11" t="str">
        <f>E24</f>
        <v>PS_ELC_SPV</v>
      </c>
      <c r="Q11" s="1" t="s">
        <v>28</v>
      </c>
      <c r="R11" s="1">
        <v>0</v>
      </c>
    </row>
    <row r="12" spans="1:18" x14ac:dyDescent="0.25">
      <c r="A12" s="1" t="str">
        <f>_xlfn.TEXTJOIN("_",TRUE,"UC",D26,"MaxGrowth",E26)</f>
        <v>UC_ELC_MaxGrowth_PS_ELC_WNF</v>
      </c>
      <c r="B12" s="1" t="s">
        <v>8</v>
      </c>
      <c r="C12" t="str">
        <f>E26</f>
        <v>PS_ELC_WNF</v>
      </c>
      <c r="D12" s="1">
        <v>2025</v>
      </c>
      <c r="E12" s="1" t="s">
        <v>22</v>
      </c>
      <c r="F12" s="4">
        <v>1</v>
      </c>
      <c r="G12" s="4">
        <f>1+$G26</f>
        <v>1.1100000000000001</v>
      </c>
      <c r="H12" s="3">
        <f>H26</f>
        <v>1.4E-2</v>
      </c>
      <c r="I12" s="1">
        <v>5</v>
      </c>
      <c r="J12" s="1" t="str">
        <f>_xlfn.TEXTJOIN(" ",TRUE,D26, "maximum growth rate of",F26)</f>
        <v>ELC maximum growth rate of Offshore Wind</v>
      </c>
      <c r="N12" s="5" t="s">
        <v>41</v>
      </c>
      <c r="O12" t="s">
        <v>27</v>
      </c>
      <c r="P12" t="str">
        <f>E25</f>
        <v>PS_ELC_WNO</v>
      </c>
      <c r="Q12" s="1" t="s">
        <v>28</v>
      </c>
      <c r="R12" s="1">
        <v>0</v>
      </c>
    </row>
    <row r="13" spans="1:18" x14ac:dyDescent="0.25">
      <c r="N13" s="5" t="s">
        <v>41</v>
      </c>
      <c r="O13" t="s">
        <v>27</v>
      </c>
      <c r="P13" t="str">
        <f>E26</f>
        <v>PS_ELC_WNF</v>
      </c>
      <c r="Q13" s="1" t="s">
        <v>28</v>
      </c>
      <c r="R13" s="1">
        <v>0</v>
      </c>
    </row>
    <row r="15" spans="1:18" x14ac:dyDescent="0.25">
      <c r="A15" s="1"/>
      <c r="B15" s="1"/>
      <c r="E15" s="1"/>
      <c r="F15" s="4"/>
      <c r="G15" s="1"/>
      <c r="H15" s="3"/>
      <c r="I15" s="1"/>
      <c r="J15" s="1"/>
    </row>
    <row r="16" spans="1:18" x14ac:dyDescent="0.25">
      <c r="A16" s="1"/>
      <c r="B16" s="1"/>
      <c r="E16" s="1"/>
      <c r="F16" s="4"/>
      <c r="G16" s="1"/>
      <c r="H16" s="3"/>
      <c r="I16" s="1"/>
      <c r="J16" s="1"/>
    </row>
    <row r="17" spans="1:18" x14ac:dyDescent="0.25">
      <c r="G17" t="s">
        <v>9</v>
      </c>
      <c r="H17" t="s">
        <v>12</v>
      </c>
    </row>
    <row r="18" spans="1:18" x14ac:dyDescent="0.25">
      <c r="D18" t="s">
        <v>10</v>
      </c>
      <c r="E18" t="s">
        <v>31</v>
      </c>
      <c r="F18" t="s">
        <v>19</v>
      </c>
      <c r="G18" s="2">
        <v>0.1</v>
      </c>
      <c r="H18">
        <v>0.01</v>
      </c>
    </row>
    <row r="19" spans="1:18" x14ac:dyDescent="0.25">
      <c r="D19" t="s">
        <v>10</v>
      </c>
      <c r="E19" t="s">
        <v>32</v>
      </c>
      <c r="F19" t="s">
        <v>21</v>
      </c>
      <c r="G19" s="2">
        <v>0.1</v>
      </c>
      <c r="H19">
        <v>2.5000000000000001E-2</v>
      </c>
    </row>
    <row r="20" spans="1:18" x14ac:dyDescent="0.25">
      <c r="D20" t="s">
        <v>10</v>
      </c>
      <c r="E20" t="s">
        <v>33</v>
      </c>
      <c r="F20" t="s">
        <v>20</v>
      </c>
      <c r="G20" s="2">
        <v>0</v>
      </c>
      <c r="H20">
        <v>0.216</v>
      </c>
    </row>
    <row r="21" spans="1:18" x14ac:dyDescent="0.25">
      <c r="D21" t="s">
        <v>10</v>
      </c>
      <c r="E21" t="s">
        <v>34</v>
      </c>
      <c r="F21" t="s">
        <v>17</v>
      </c>
      <c r="G21" s="2">
        <v>0.05</v>
      </c>
      <c r="H21">
        <v>0.4</v>
      </c>
    </row>
    <row r="22" spans="1:18" x14ac:dyDescent="0.25">
      <c r="D22" t="s">
        <v>10</v>
      </c>
      <c r="E22" t="s">
        <v>35</v>
      </c>
      <c r="F22" t="s">
        <v>18</v>
      </c>
      <c r="G22" s="2">
        <v>0.05</v>
      </c>
      <c r="H22">
        <v>0.4</v>
      </c>
    </row>
    <row r="23" spans="1:18" x14ac:dyDescent="0.25">
      <c r="D23" t="s">
        <v>10</v>
      </c>
      <c r="E23" t="s">
        <v>36</v>
      </c>
      <c r="F23" t="s">
        <v>14</v>
      </c>
      <c r="G23" s="2">
        <v>0.05</v>
      </c>
      <c r="H23">
        <v>1E-4</v>
      </c>
    </row>
    <row r="24" spans="1:18" x14ac:dyDescent="0.25">
      <c r="D24" t="s">
        <v>10</v>
      </c>
      <c r="E24" t="s">
        <v>37</v>
      </c>
      <c r="F24" t="s">
        <v>13</v>
      </c>
      <c r="G24" s="2">
        <v>0.22</v>
      </c>
      <c r="H24">
        <v>2</v>
      </c>
    </row>
    <row r="25" spans="1:18" x14ac:dyDescent="0.25">
      <c r="D25" t="s">
        <v>10</v>
      </c>
      <c r="E25" t="s">
        <v>38</v>
      </c>
      <c r="F25" t="s">
        <v>15</v>
      </c>
      <c r="G25" s="2">
        <v>0.11</v>
      </c>
      <c r="H25">
        <v>11</v>
      </c>
    </row>
    <row r="26" spans="1:18" x14ac:dyDescent="0.25">
      <c r="D26" t="s">
        <v>10</v>
      </c>
      <c r="E26" t="s">
        <v>39</v>
      </c>
      <c r="F26" t="s">
        <v>16</v>
      </c>
      <c r="G26" s="2">
        <v>0.11</v>
      </c>
      <c r="H26">
        <v>1.4E-2</v>
      </c>
    </row>
    <row r="30" spans="1:18" x14ac:dyDescent="0.25">
      <c r="A30" s="1" t="str">
        <f>_xlfn.TEXTJOIN("_",TRUE,"UC",D22,"MaxGrowth",E22)</f>
        <v>UC_ELC_MaxGrowth_PS_ELC_NUC</v>
      </c>
      <c r="B30" s="1" t="s">
        <v>8</v>
      </c>
      <c r="C30" t="str">
        <f>E22</f>
        <v>PS_ELC_NUC</v>
      </c>
      <c r="D30" s="1">
        <v>2025</v>
      </c>
      <c r="E30" s="1" t="s">
        <v>22</v>
      </c>
      <c r="F30" s="4">
        <v>1</v>
      </c>
      <c r="G30" s="4">
        <f>1+$G22</f>
        <v>1.05</v>
      </c>
      <c r="H30" s="3">
        <f>H22</f>
        <v>0.4</v>
      </c>
      <c r="I30" s="1">
        <v>5</v>
      </c>
      <c r="J30" s="1" t="str">
        <f>_xlfn.TEXTJOIN(" ",TRUE,D22, "maximum growth rate of",F22)</f>
        <v>ELC maximum growth rate of Nuclear</v>
      </c>
      <c r="N30" s="5" t="s">
        <v>41</v>
      </c>
      <c r="O30" t="s">
        <v>27</v>
      </c>
      <c r="P30" t="str">
        <f>E22</f>
        <v>PS_ELC_NUC</v>
      </c>
      <c r="Q30" s="1" t="s">
        <v>28</v>
      </c>
      <c r="R30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James GLYNN</cp:lastModifiedBy>
  <dcterms:created xsi:type="dcterms:W3CDTF">2009-05-27T15:40:55Z</dcterms:created>
  <dcterms:modified xsi:type="dcterms:W3CDTF">2026-01-20T12:08:46Z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274593532085418</vt:r8>
  </property>
</Properties>
</file>