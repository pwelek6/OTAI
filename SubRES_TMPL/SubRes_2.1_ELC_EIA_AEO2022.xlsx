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git\esma\DEVTAI\SubRES_TMPL\"/>
    </mc:Choice>
  </mc:AlternateContent>
  <xr:revisionPtr revIDLastSave="0" documentId="13_ncr:1_{36FC2A41-E44A-41CA-B24A-F03307B19DED}" xr6:coauthVersionLast="47" xr6:coauthVersionMax="47" xr10:uidLastSave="{00000000-0000-0000-0000-000000000000}"/>
  <bookViews>
    <workbookView xWindow="51960" yWindow="5535" windowWidth="57600" windowHeight="15345" xr2:uid="{00000000-000D-0000-FFFF-FFFF00000000}"/>
  </bookViews>
  <sheets>
    <sheet name="ELC_NEW_GENERATORS" sheetId="1" r:id="rId1"/>
    <sheet name="NEMS_EMM_AEO2022" sheetId="2" r:id="rId2"/>
    <sheet name="NEMS_EMM PROCESSES_TECH_OPTIONS" sheetId="3" r:id="rId3"/>
  </sheets>
  <externalReferences>
    <externalReference r:id="rId4"/>
  </externalReferences>
  <definedNames>
    <definedName name="FID_1">[1]AGR_Fuels!$A$2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4" i="1"/>
  <c r="M21" i="1"/>
  <c r="Y18" i="1"/>
  <c r="M18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9" i="1"/>
  <c r="M20" i="1"/>
  <c r="M22" i="1"/>
  <c r="M23" i="1"/>
  <c r="M24" i="1"/>
  <c r="M25" i="1"/>
  <c r="M26" i="1"/>
  <c r="M27" i="1"/>
  <c r="M4" i="1"/>
  <c r="T27" i="1" l="1"/>
  <c r="Z27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9" i="1"/>
  <c r="T20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K20" i="1"/>
  <c r="K27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1" i="1"/>
  <c r="K22" i="1"/>
  <c r="K23" i="1"/>
  <c r="K24" i="1"/>
  <c r="K25" i="1"/>
  <c r="K26" i="1"/>
  <c r="S4" i="1"/>
  <c r="R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4" i="1"/>
  <c r="C5" i="1" l="1"/>
  <c r="L5" i="1" s="1"/>
  <c r="C6" i="1"/>
  <c r="L6" i="1" s="1"/>
  <c r="C7" i="1"/>
  <c r="L7" i="1" s="1"/>
  <c r="C8" i="1"/>
  <c r="L8" i="1" s="1"/>
  <c r="C9" i="1"/>
  <c r="L9" i="1" s="1"/>
  <c r="C10" i="1"/>
  <c r="L10" i="1" s="1"/>
  <c r="C11" i="1"/>
  <c r="L11" i="1" s="1"/>
  <c r="C12" i="1"/>
  <c r="L12" i="1" s="1"/>
  <c r="C13" i="1"/>
  <c r="L13" i="1" s="1"/>
  <c r="C14" i="1"/>
  <c r="L14" i="1" s="1"/>
  <c r="C15" i="1"/>
  <c r="L15" i="1" s="1"/>
  <c r="C16" i="1"/>
  <c r="L16" i="1" s="1"/>
  <c r="C17" i="1"/>
  <c r="L17" i="1" s="1"/>
  <c r="C18" i="1"/>
  <c r="L18" i="1" s="1"/>
  <c r="C19" i="1"/>
  <c r="L19" i="1" s="1"/>
  <c r="C20" i="1"/>
  <c r="L20" i="1" s="1"/>
  <c r="C21" i="1"/>
  <c r="L21" i="1" s="1"/>
  <c r="C22" i="1"/>
  <c r="L22" i="1" s="1"/>
  <c r="C23" i="1"/>
  <c r="L23" i="1" s="1"/>
  <c r="C24" i="1"/>
  <c r="L24" i="1" s="1"/>
  <c r="C25" i="1"/>
  <c r="L25" i="1" s="1"/>
  <c r="C26" i="1"/>
  <c r="L26" i="1" s="1"/>
  <c r="C4" i="1"/>
  <c r="L4" i="1" s="1"/>
  <c r="K4" i="1" l="1"/>
  <c r="AB4" i="1"/>
  <c r="Q4" i="1"/>
  <c r="T4" i="1"/>
  <c r="AC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 James Glynn</author>
    <author>tc={1EA64F30-F312-4D6F-A6BA-D746C252CA45}</author>
  </authors>
  <commentList>
    <comment ref="V4" authorId="0" shapeId="0" xr:uid="{36B0DB60-F96E-4376-A649-3638525AFC7C}">
      <text>
        <r>
          <rPr>
            <b/>
            <sz val="9"/>
            <color indexed="81"/>
            <rFont val="Tahoma"/>
            <family val="2"/>
          </rPr>
          <t>Dr James Glynn:</t>
        </r>
        <r>
          <rPr>
            <sz val="9"/>
            <color indexed="81"/>
            <rFont val="Tahoma"/>
            <family val="2"/>
          </rPr>
          <t xml:space="preserve">
These Technical Lives need reviewing and updating</t>
        </r>
      </text>
    </comment>
    <comment ref="X4" authorId="0" shapeId="0" xr:uid="{2CD2682F-841D-471D-A4FD-B306D3D27502}">
      <text>
        <r>
          <rPr>
            <b/>
            <sz val="9"/>
            <color indexed="81"/>
            <rFont val="Tahoma"/>
            <family val="2"/>
          </rPr>
          <t>Dr James Glynn:</t>
        </r>
        <r>
          <rPr>
            <sz val="9"/>
            <color indexed="81"/>
            <rFont val="Tahoma"/>
            <family val="2"/>
          </rPr>
          <t xml:space="preserve">
These Availability factors need calibration</t>
        </r>
      </text>
    </comment>
    <comment ref="Y18" authorId="1" shapeId="0" xr:uid="{1EA64F30-F312-4D6F-A6BA-D746C252CA45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this is a 2 hour storage</t>
      </text>
    </comment>
  </commentList>
</comments>
</file>

<file path=xl/sharedStrings.xml><?xml version="1.0" encoding="utf-8"?>
<sst xmlns="http://schemas.openxmlformats.org/spreadsheetml/2006/main" count="631" uniqueCount="235">
  <si>
    <t>~FI_Process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</si>
  <si>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</si>
  <si>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</si>
  <si>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</si>
  <si>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</si>
  <si>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</si>
  <si>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</si>
  <si>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</si>
  <si>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</si>
  <si>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\I: Process Set Membership</t>
  </si>
  <si>
    <t>Technology name</t>
  </si>
  <si>
    <t>Description</t>
  </si>
  <si>
    <t>Activity unit</t>
  </si>
  <si>
    <t>Capacity unit</t>
  </si>
  <si>
    <t>TimeSlice level of Process Activity</t>
  </si>
  <si>
    <t>Primary Commodity Group</t>
  </si>
  <si>
    <t>Vintage Tracking</t>
  </si>
  <si>
    <t>ELE</t>
  </si>
  <si>
    <t>PJ</t>
  </si>
  <si>
    <t>GW</t>
  </si>
  <si>
    <t>DAYNITE</t>
  </si>
  <si>
    <t>Distributed Generation-Peak</t>
  </si>
  <si>
    <t>DGP</t>
  </si>
  <si>
    <t>Distributed Generation-Base</t>
  </si>
  <si>
    <t>DGB</t>
  </si>
  <si>
    <t>Other Intermittent</t>
  </si>
  <si>
    <t>OIN</t>
  </si>
  <si>
    <t>Solar Photovoltaic Fixed Tilt</t>
  </si>
  <si>
    <t>PVT</t>
  </si>
  <si>
    <t>Solar Photovoltaic w/Axis Track</t>
  </si>
  <si>
    <t>SPV</t>
  </si>
  <si>
    <t>Solar Thermal w/Storage 2</t>
  </si>
  <si>
    <t>ST2</t>
  </si>
  <si>
    <t>Solar Thermal w/Storage</t>
  </si>
  <si>
    <t>STS</t>
  </si>
  <si>
    <t>Solar Thermal (no storage)</t>
  </si>
  <si>
    <t>STH</t>
  </si>
  <si>
    <t>Wind OffShore</t>
  </si>
  <si>
    <t>WFS</t>
  </si>
  <si>
    <t>Wind Low Speed</t>
  </si>
  <si>
    <t>WNL</t>
  </si>
  <si>
    <t>Conventional Wind</t>
  </si>
  <si>
    <t>WND</t>
  </si>
  <si>
    <t>Other Storage</t>
  </si>
  <si>
    <t>OST</t>
  </si>
  <si>
    <t>Diurnal Storage</t>
  </si>
  <si>
    <t>DST</t>
  </si>
  <si>
    <t>Quick Response Storage</t>
  </si>
  <si>
    <t>QST</t>
  </si>
  <si>
    <t>Reversible Hydroelectric</t>
  </si>
  <si>
    <t>HYR</t>
  </si>
  <si>
    <t>Hydroelectric Tidal</t>
  </si>
  <si>
    <t>HYT</t>
  </si>
  <si>
    <t>Hydroelectric in Stream</t>
  </si>
  <si>
    <t>HYI</t>
  </si>
  <si>
    <t>Advanced Hydroelectric</t>
  </si>
  <si>
    <t>HYA</t>
  </si>
  <si>
    <t>Conventional Hydroelectric</t>
  </si>
  <si>
    <t>HYC</t>
  </si>
  <si>
    <t>Municipal Solid Waste</t>
  </si>
  <si>
    <t>MSW</t>
  </si>
  <si>
    <t>Advanced Geothermal</t>
  </si>
  <si>
    <t>AGT</t>
  </si>
  <si>
    <t>Geothermal</t>
  </si>
  <si>
    <t>GTH</t>
  </si>
  <si>
    <t>Biomass IGCC</t>
  </si>
  <si>
    <t>BIG</t>
  </si>
  <si>
    <t>Wood/Biomass</t>
  </si>
  <si>
    <t>BMS</t>
  </si>
  <si>
    <t>Greenfield Nuclear</t>
  </si>
  <si>
    <t>GFN</t>
  </si>
  <si>
    <t>SMR Advanced Nuclear</t>
  </si>
  <si>
    <t>SMR</t>
  </si>
  <si>
    <t>Advanced Nuclear</t>
  </si>
  <si>
    <t>ANC</t>
  </si>
  <si>
    <t>Conventional Nuclear</t>
  </si>
  <si>
    <t>CNU</t>
  </si>
  <si>
    <t>Fuel Cell</t>
  </si>
  <si>
    <t>FCG</t>
  </si>
  <si>
    <t>Adv. Combined Cyc w/Sequestration</t>
  </si>
  <si>
    <t>ACS</t>
  </si>
  <si>
    <t>New Advanced Combined Cycle</t>
  </si>
  <si>
    <t>AC2</t>
  </si>
  <si>
    <t>Advanced Combined Cycle</t>
  </si>
  <si>
    <t>ACC</t>
  </si>
  <si>
    <t>Oil/Gas Combined Cycle</t>
  </si>
  <si>
    <t>CCX</t>
  </si>
  <si>
    <t>Gas Combined Cycle</t>
  </si>
  <si>
    <t>CCG</t>
  </si>
  <si>
    <t>Oil Combined Cycle</t>
  </si>
  <si>
    <t>CCO</t>
  </si>
  <si>
    <t>Advanced Turbine</t>
  </si>
  <si>
    <t>ACT</t>
  </si>
  <si>
    <t>Aeroderivative Turbine</t>
  </si>
  <si>
    <t>CTA</t>
  </si>
  <si>
    <t>Oil/Gas Turbine</t>
  </si>
  <si>
    <t>CTX</t>
  </si>
  <si>
    <t>Gas Turbine</t>
  </si>
  <si>
    <t>CTG</t>
  </si>
  <si>
    <t>Oil Turbine</t>
  </si>
  <si>
    <t>CTO</t>
  </si>
  <si>
    <t>Internal Combustion Engine</t>
  </si>
  <si>
    <t>ICE</t>
  </si>
  <si>
    <t>Oil/Gas Steam</t>
  </si>
  <si>
    <t>STX</t>
  </si>
  <si>
    <t>Gas Steam</t>
  </si>
  <si>
    <t>STG</t>
  </si>
  <si>
    <t>Oil Steam</t>
  </si>
  <si>
    <t>STO</t>
  </si>
  <si>
    <t>Coal to Gas Retrofit</t>
  </si>
  <si>
    <t>CTN</t>
  </si>
  <si>
    <t>New Adv. Coal with Sequestration</t>
  </si>
  <si>
    <t>CAS</t>
  </si>
  <si>
    <t>New Coal w/Partial Sequestration</t>
  </si>
  <si>
    <t>COQ</t>
  </si>
  <si>
    <t>IGCC with NG Cofiring</t>
  </si>
  <si>
    <t>CNG</t>
  </si>
  <si>
    <t>New Advanced Coal</t>
  </si>
  <si>
    <t>CAV</t>
  </si>
  <si>
    <t>Other New Coal Steam</t>
  </si>
  <si>
    <t>CN2</t>
  </si>
  <si>
    <t>New Coal Steam</t>
  </si>
  <si>
    <t>CNC</t>
  </si>
  <si>
    <t>Coal Steam with Scrubber</t>
  </si>
  <si>
    <t>CSC</t>
  </si>
  <si>
    <t>Coal Steam post- 1965</t>
  </si>
  <si>
    <t>CSU</t>
  </si>
  <si>
    <t>Coal Steam pre- 1965</t>
  </si>
  <si>
    <t>COU</t>
  </si>
  <si>
    <t>DCAP_NAME</t>
  </si>
  <si>
    <t>DCAP_3_LETTER_CODE</t>
  </si>
  <si>
    <t>Max. capacity factor</t>
  </si>
  <si>
    <t>Technical life</t>
  </si>
  <si>
    <t>Size of New Units</t>
  </si>
  <si>
    <t>Efficiency</t>
  </si>
  <si>
    <t>Total overnight cost (2020 $/kW)</t>
  </si>
  <si>
    <t>Lead time between investment decision and actual availability of new capacity (= construction time).</t>
  </si>
  <si>
    <t>Output Commodity</t>
  </si>
  <si>
    <t>Input Commodity</t>
  </si>
  <si>
    <t>Technology Description</t>
  </si>
  <si>
    <t>NCAP_DISC</t>
  </si>
  <si>
    <t>NCAP_ILED</t>
  </si>
  <si>
    <t>Comm-OUT</t>
  </si>
  <si>
    <t>Comm-IN</t>
  </si>
  <si>
    <t>*TechDesc</t>
  </si>
  <si>
    <t>NA</t>
  </si>
  <si>
    <t>Solar PV with storage</t>
  </si>
  <si>
    <t>Solar photovoltaic (PV) with tracking</t>
  </si>
  <si>
    <t>Solar thermal</t>
  </si>
  <si>
    <t>Wind offshore</t>
  </si>
  <si>
    <t>Wind</t>
  </si>
  <si>
    <t>Conventional hydropower</t>
  </si>
  <si>
    <t>Municipal solid waste—landfill gas</t>
  </si>
  <si>
    <t>Biomass</t>
  </si>
  <si>
    <t>Battery storage</t>
  </si>
  <si>
    <t>Distributed generation—peak</t>
  </si>
  <si>
    <t>Distributed generation—base</t>
  </si>
  <si>
    <t>Nuclear—small modular reactor</t>
  </si>
  <si>
    <t>Nuclear—light water reactor</t>
  </si>
  <si>
    <t>Fuel cells</t>
  </si>
  <si>
    <t>Combustion turbine—industrial frame</t>
  </si>
  <si>
    <t>Combustion turbine—aeroderivative</t>
  </si>
  <si>
    <t>Internal combustion engine</t>
  </si>
  <si>
    <t>Combined-cycle with 90% CCS</t>
  </si>
  <si>
    <t>Combined-cycle—multi shaft</t>
  </si>
  <si>
    <t>Combined-cycle—single shaft</t>
  </si>
  <si>
    <t>USC with 90% CCS</t>
  </si>
  <si>
    <t>USC with 30% carbon capture and sequestration (CCS)</t>
  </si>
  <si>
    <t>Ultra-supercritical coal (USC)</t>
  </si>
  <si>
    <t>Heat rate (Btu/kWh)</t>
  </si>
  <si>
    <t>Techno-logical optimism factor</t>
  </si>
  <si>
    <t>Lead time
(years)</t>
  </si>
  <si>
    <t>Size (MW)</t>
  </si>
  <si>
    <t>First available year</t>
  </si>
  <si>
    <t>Technology</t>
  </si>
  <si>
    <t>New</t>
  </si>
  <si>
    <t>DCAP_INDEX</t>
  </si>
  <si>
    <t>Electricity Power Plant</t>
  </si>
  <si>
    <t>COA</t>
  </si>
  <si>
    <t>NGA</t>
  </si>
  <si>
    <t>BSL</t>
  </si>
  <si>
    <t>NUC</t>
  </si>
  <si>
    <t>GEO</t>
  </si>
  <si>
    <t>Hydro Plant</t>
  </si>
  <si>
    <t>RNW</t>
  </si>
  <si>
    <t>Geothermal Plant</t>
  </si>
  <si>
    <t>Solar Thermal</t>
  </si>
  <si>
    <t>Technology Type Desc</t>
  </si>
  <si>
    <t>01</t>
  </si>
  <si>
    <t>THM</t>
  </si>
  <si>
    <t>Technology Name</t>
  </si>
  <si>
    <t>Electricity Power Plant with CCS</t>
  </si>
  <si>
    <t>Storage</t>
  </si>
  <si>
    <t>Wind Onshore</t>
  </si>
  <si>
    <t>Wind Offshore</t>
  </si>
  <si>
    <t>Solar PV</t>
  </si>
  <si>
    <t>Solar PV w Storage</t>
  </si>
  <si>
    <t>OTH</t>
  </si>
  <si>
    <t>Technology SET</t>
  </si>
  <si>
    <t>SPS</t>
  </si>
  <si>
    <t>Vintage Number</t>
  </si>
  <si>
    <t>ELCC</t>
  </si>
  <si>
    <t>H2</t>
  </si>
  <si>
    <t>~FI_T</t>
  </si>
  <si>
    <t>TIMES_COMM</t>
  </si>
  <si>
    <t>NEMS EMM Fuel Code</t>
  </si>
  <si>
    <t>\I: Technology Name</t>
  </si>
  <si>
    <t>Variable O&amp;M (2021$/MWh)</t>
  </si>
  <si>
    <t>Base
overnight
cost2
(2021 $/kW)</t>
  </si>
  <si>
    <t>Fixed O&amp;M
(2021$/
kW-yr)</t>
  </si>
  <si>
    <t>Total overnight cost (2021 $/kW)</t>
  </si>
  <si>
    <t>Electricity Power Plant_Municipal solid waste—landfill gas</t>
  </si>
  <si>
    <t>Currency</t>
  </si>
  <si>
    <t>Curr</t>
  </si>
  <si>
    <t>MUSD2021</t>
  </si>
  <si>
    <t>MUSD2020</t>
  </si>
  <si>
    <t>WNO</t>
  </si>
  <si>
    <t>WNF</t>
  </si>
  <si>
    <t>WAT</t>
  </si>
  <si>
    <t>NCAP_START</t>
  </si>
  <si>
    <t>NCAP_COST</t>
  </si>
  <si>
    <t>ACT_COST</t>
  </si>
  <si>
    <t>NCAP_FOM</t>
  </si>
  <si>
    <t>ACT_EFF</t>
  </si>
  <si>
    <t>STG_EFF</t>
  </si>
  <si>
    <t>Storage efficiency</t>
  </si>
  <si>
    <t>Other_Indexes</t>
  </si>
  <si>
    <t>NCAP_TLIFE</t>
  </si>
  <si>
    <t>PRC_CAPACT</t>
  </si>
  <si>
    <t>NCAP_AFC</t>
  </si>
  <si>
    <t>ANNUAL</t>
  </si>
  <si>
    <t>ESPV</t>
  </si>
  <si>
    <t>EWNO</t>
  </si>
  <si>
    <t>EWNF</t>
  </si>
  <si>
    <t>NCAP_AFA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</si>
</sst>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Te\x\t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49" fontId="0" fillId="0" borderId="0" xfId="0" applyNumberFormat="1"/>
    <xf numFmtId="0" fontId="7" fillId="2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3" fontId="0" fillId="0" borderId="0" xfId="0" applyNumberFormat="1"/>
    <xf numFmtId="2" fontId="0" fillId="2" borderId="0" xfId="0" applyNumberFormat="1" applyFill="1"/>
    <xf numFmtId="2" fontId="0" fillId="0" borderId="0" xfId="0" applyNumberFormat="1"/>
    <xf numFmtId="165" fontId="9" fillId="0" borderId="0" xfId="0" applyNumberFormat="1" applyFont="1"/>
    <xf numFmtId="0" fontId="8" fillId="4" borderId="0" xfId="0" applyFont="1" applyFill="1"/>
    <xf numFmtId="0" fontId="0" fillId="5" borderId="0" xfId="0" applyFill="1" applyAlignment="1">
      <alignment vertical="top" wrapText="1"/>
    </xf>
    <xf numFmtId="0" fontId="10" fillId="5" borderId="0" xfId="0" applyFont="1" applyFill="1" applyAlignment="1">
      <alignment vertical="top" wrapText="1"/>
    </xf>
    <xf numFmtId="0" fontId="11" fillId="0" borderId="0" xfId="0" applyFont="1"/>
    <xf numFmtId="0" fontId="2" fillId="3" borderId="0" xfId="0" applyFont="1" applyFill="1"/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Olexandr Balyk" id="{668EA224-D69C-4DAC-BA68-061038258E7D}" userId="78cf518dc4778786" providerId="Windows Live"/>
</personList>
</file>

<file path=xl/theme/theme1.xml><?xml version="1.0" encoding="utf-8"?>
<a:theme xmlns:a="http://schemas.openxmlformats.org/drawingml/2006/main" name="ESMA_Excel_Theme">
  <a:themeElements>
    <a:clrScheme name="ESMA">
      <a:dk1>
        <a:sysClr val="windowText" lastClr="000000"/>
      </a:dk1>
      <a:lt1>
        <a:sysClr val="window" lastClr="FFFFFF"/>
      </a:lt1>
      <a:dk2>
        <a:srgbClr val="004539"/>
      </a:dk2>
      <a:lt2>
        <a:srgbClr val="EAAA00"/>
      </a:lt2>
      <a:accent1>
        <a:srgbClr val="00A3CB"/>
      </a:accent1>
      <a:accent2>
        <a:srgbClr val="10CFC9"/>
      </a:accent2>
      <a:accent3>
        <a:srgbClr val="6E7C7C"/>
      </a:accent3>
      <a:accent4>
        <a:srgbClr val="00C463"/>
      </a:accent4>
      <a:accent5>
        <a:srgbClr val="AFE1DA"/>
      </a:accent5>
      <a:accent6>
        <a:srgbClr val="FF6A1F"/>
      </a:accent6>
      <a:hlink>
        <a:srgbClr val="00A3CB"/>
      </a:hlink>
      <a:folHlink>
        <a:srgbClr val="10CFC9"/>
      </a:folHlink>
    </a:clrScheme>
    <a:fontScheme name="ESMA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18" dT="2023-12-15T21:20:51.90" personId="{668EA224-D69C-4DAC-BA68-061038258E7D}" id="{1EA64F30-F312-4D6F-A6BA-D746C252CA45}">
    <text>Assuming this is a 2 hour storage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2"/>
  </sheetPr>
  <dimension ref="A1:AP95"/>
  <sheetViews>
    <sheetView tabSelected="1" zoomScaleNormal="100" workbookViewId="0">
      <selection activeCell="X27" sqref="X27"/>
    </sheetView>
  </sheetViews>
  <sheetFormatPr defaultRowHeight="15" x14ac:dyDescent="0.25"/>
  <cols>
    <col min="1" max="1" width="12.140625" bestFit="1" customWidth="1"/>
    <col min="2" max="2" width="22.140625" bestFit="1" customWidth="1"/>
    <col min="3" max="3" width="79.42578125" bestFit="1" customWidth="1"/>
    <col min="4" max="4" width="6.85546875" bestFit="1" customWidth="1"/>
    <col min="5" max="5" width="7.85546875" bestFit="1" customWidth="1"/>
    <col min="6" max="6" width="8.5703125" bestFit="1" customWidth="1"/>
    <col min="7" max="7" width="10.42578125" bestFit="1" customWidth="1"/>
    <col min="8" max="8" width="7.85546875" bestFit="1" customWidth="1"/>
    <col min="9" max="10" width="1.7109375" customWidth="1"/>
    <col min="11" max="11" width="22.140625" bestFit="1" customWidth="1"/>
    <col min="12" max="12" width="79.42578125" bestFit="1" customWidth="1"/>
    <col min="13" max="13" width="27" bestFit="1" customWidth="1"/>
    <col min="14" max="14" width="11.28515625" bestFit="1" customWidth="1"/>
    <col min="15" max="15" width="10.28515625" bestFit="1" customWidth="1"/>
    <col min="16" max="16" width="14.28515625" bestFit="1" customWidth="1"/>
    <col min="17" max="17" width="11.5703125" bestFit="1" customWidth="1"/>
    <col min="18" max="18" width="10" bestFit="1" customWidth="1"/>
    <col min="19" max="19" width="11.28515625" bestFit="1" customWidth="1"/>
    <col min="20" max="21" width="8.5703125" bestFit="1" customWidth="1"/>
    <col min="22" max="22" width="11.42578125" bestFit="1" customWidth="1"/>
    <col min="23" max="23" width="12.42578125" bestFit="1" customWidth="1"/>
    <col min="24" max="24" width="10.5703125" bestFit="1" customWidth="1"/>
    <col min="25" max="25" width="10.42578125" bestFit="1" customWidth="1"/>
    <col min="26" max="26" width="12.42578125" bestFit="1" customWidth="1"/>
    <col min="27" max="28" width="26.7109375" bestFit="1" customWidth="1"/>
    <col min="29" max="29" width="11" bestFit="1" customWidth="1"/>
    <col min="33" max="33" width="49.28515625" bestFit="1" customWidth="1"/>
    <col min="34" max="34" width="14.7109375" bestFit="1" customWidth="1"/>
    <col min="35" max="35" width="13.85546875" bestFit="1" customWidth="1"/>
    <col min="36" max="36" width="21" bestFit="1" customWidth="1"/>
    <col min="37" max="37" width="29.7109375" bestFit="1" customWidth="1"/>
    <col min="38" max="38" width="15.7109375" bestFit="1" customWidth="1"/>
    <col min="41" max="41" width="21" bestFit="1" customWidth="1"/>
    <col min="42" max="42" width="34.140625" bestFit="1" customWidth="1"/>
  </cols>
  <sheetData>
    <row r="1" spans="1:42" ht="15.75" x14ac:dyDescent="0.25">
      <c r="A1" s="17" t="s">
        <v>0</v>
      </c>
      <c r="I1" s="5"/>
      <c r="K1" s="17" t="s">
        <v>203</v>
      </c>
      <c r="L1" s="3"/>
      <c r="M1" s="3"/>
      <c r="Q1" s="4"/>
      <c r="R1" s="4"/>
      <c r="S1" s="4"/>
      <c r="T1" s="4"/>
      <c r="U1" s="4"/>
      <c r="V1" s="3"/>
      <c r="W1" s="3"/>
      <c r="X1" s="3"/>
    </row>
    <row r="2" spans="1:42" x14ac:dyDescent="0.2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8"/>
      <c r="J2" s="8"/>
      <c r="K2" s="14" t="s">
        <v>2</v>
      </c>
      <c r="L2" s="14" t="s">
        <v>144</v>
      </c>
      <c r="M2" s="14" t="s">
        <v>143</v>
      </c>
      <c r="N2" s="14" t="s">
        <v>142</v>
      </c>
      <c r="O2" s="14" t="s">
        <v>213</v>
      </c>
      <c r="P2" s="14" t="s">
        <v>226</v>
      </c>
      <c r="Q2" s="14" t="s">
        <v>220</v>
      </c>
      <c r="R2" s="14" t="s">
        <v>221</v>
      </c>
      <c r="S2" s="14" t="s">
        <v>222</v>
      </c>
      <c r="T2" s="14" t="s">
        <v>223</v>
      </c>
      <c r="U2" s="14" t="s">
        <v>224</v>
      </c>
      <c r="V2" s="14" t="s">
        <v>227</v>
      </c>
      <c r="W2" s="14" t="s">
        <v>228</v>
      </c>
      <c r="X2" s="14" t="s">
        <v>234</v>
      </c>
      <c r="Y2" s="14" t="s">
        <v>229</v>
      </c>
      <c r="Z2" s="14" t="s">
        <v>219</v>
      </c>
      <c r="AB2" s="14" t="s">
        <v>141</v>
      </c>
      <c r="AC2" s="14" t="s">
        <v>140</v>
      </c>
      <c r="AG2" s="18" t="s">
        <v>190</v>
      </c>
      <c r="AH2" s="18" t="s">
        <v>198</v>
      </c>
      <c r="AI2" s="18" t="s">
        <v>204</v>
      </c>
      <c r="AJ2" s="18" t="s">
        <v>205</v>
      </c>
      <c r="AK2" s="18" t="s">
        <v>187</v>
      </c>
      <c r="AL2" s="18" t="s">
        <v>200</v>
      </c>
      <c r="AO2" s="18" t="s">
        <v>130</v>
      </c>
      <c r="AP2" s="18" t="s">
        <v>129</v>
      </c>
    </row>
    <row r="3" spans="1:42" ht="64.5" customHeight="1" x14ac:dyDescent="0.25">
      <c r="A3" s="16" t="s">
        <v>9</v>
      </c>
      <c r="B3" s="16" t="s">
        <v>10</v>
      </c>
      <c r="C3" s="16" t="s">
        <v>11</v>
      </c>
      <c r="D3" s="16" t="s">
        <v>12</v>
      </c>
      <c r="E3" s="16" t="s">
        <v>13</v>
      </c>
      <c r="F3" s="16" t="s">
        <v>14</v>
      </c>
      <c r="G3" s="16" t="s">
        <v>15</v>
      </c>
      <c r="H3" s="16" t="s">
        <v>16</v>
      </c>
      <c r="I3" s="9"/>
      <c r="J3" s="9"/>
      <c r="K3" s="16" t="s">
        <v>206</v>
      </c>
      <c r="L3" s="16" t="s">
        <v>139</v>
      </c>
      <c r="M3" s="16" t="s">
        <v>138</v>
      </c>
      <c r="N3" s="16" t="s">
        <v>137</v>
      </c>
      <c r="O3" s="16" t="s">
        <v>212</v>
      </c>
      <c r="P3" s="16"/>
      <c r="Q3" s="16" t="s">
        <v>210</v>
      </c>
      <c r="R3" s="16" t="s">
        <v>207</v>
      </c>
      <c r="S3" s="16" t="s">
        <v>209</v>
      </c>
      <c r="T3" s="16" t="s">
        <v>134</v>
      </c>
      <c r="U3" s="16" t="s">
        <v>225</v>
      </c>
      <c r="V3" s="16" t="s">
        <v>132</v>
      </c>
      <c r="W3" s="16"/>
      <c r="X3" s="16" t="s">
        <v>131</v>
      </c>
      <c r="Y3" s="16"/>
      <c r="Z3" s="16"/>
      <c r="AB3" s="16" t="s">
        <v>136</v>
      </c>
      <c r="AC3" s="16" t="s">
        <v>133</v>
      </c>
      <c r="AG3" s="15"/>
      <c r="AH3" s="15"/>
      <c r="AI3" s="15"/>
      <c r="AJ3" s="15"/>
      <c r="AK3" s="15"/>
      <c r="AL3" s="15"/>
      <c r="AO3" t="s">
        <v>128</v>
      </c>
      <c r="AP3" t="s">
        <v>127</v>
      </c>
    </row>
    <row r="4" spans="1:42" x14ac:dyDescent="0.25">
      <c r="A4" t="s">
        <v>17</v>
      </c>
      <c r="B4" t="str">
        <f>"E_"&amp;AH4&amp;"_"&amp;AI4&amp;"_"&amp;AJ4&amp;"_"&amp;AL4</f>
        <v>E_THM_COA_CAV_01</v>
      </c>
      <c r="C4" t="str">
        <f t="shared" ref="C4:C26" si="0">AK4&amp;"_"&amp;AG4</f>
        <v>Electricity Power Plant_Ultra-supercritical coal (USC)</v>
      </c>
      <c r="D4" t="s">
        <v>18</v>
      </c>
      <c r="E4" t="s">
        <v>19</v>
      </c>
      <c r="F4" t="s">
        <v>20</v>
      </c>
      <c r="K4" t="str">
        <f t="shared" ref="K4:K20" si="1">B4</f>
        <v>E_THM_COA_CAV_01</v>
      </c>
      <c r="L4" t="str">
        <f t="shared" ref="L4:L20" si="2">C4</f>
        <v>Electricity Power Plant_Ultra-supercritical coal (USC)</v>
      </c>
      <c r="M4" t="str">
        <f t="shared" ref="M4:M17" si="3">"ELC"&amp;AI4</f>
        <v>ELCCOA</v>
      </c>
      <c r="N4" t="s">
        <v>201</v>
      </c>
      <c r="O4" t="str">
        <f>NEMS_EMM_AEO2022!L3</f>
        <v>MUSD2021</v>
      </c>
      <c r="P4" t="s">
        <v>92</v>
      </c>
      <c r="Q4">
        <f>NEMS_EMM_AEO2022!H3</f>
        <v>4074</v>
      </c>
      <c r="R4" s="11">
        <f>NEMS_EMM_AEO2022!I3</f>
        <v>4.71</v>
      </c>
      <c r="S4" s="12">
        <f>NEMS_EMM_AEO2022!J3</f>
        <v>42.49</v>
      </c>
      <c r="T4" s="12">
        <f>(1/(NEMS_EMM_AEO2022!K3*0.2931)*1000)</f>
        <v>0.39497624968313022</v>
      </c>
      <c r="V4" s="1">
        <v>45</v>
      </c>
      <c r="W4">
        <v>31.536000000000001</v>
      </c>
      <c r="X4" s="1">
        <v>0.85</v>
      </c>
      <c r="Z4">
        <f>NEMS_EMM_AEO2022!C3+1</f>
        <v>2026</v>
      </c>
      <c r="AB4">
        <f>NEMS_EMM_AEO2022!E3</f>
        <v>4</v>
      </c>
      <c r="AC4">
        <f>NEMS_EMM_AEO2022!D3/1000</f>
        <v>0.65</v>
      </c>
      <c r="AG4" t="s">
        <v>168</v>
      </c>
      <c r="AH4" t="s">
        <v>189</v>
      </c>
      <c r="AI4" s="7" t="s">
        <v>178</v>
      </c>
      <c r="AJ4" t="s">
        <v>118</v>
      </c>
      <c r="AK4" t="s">
        <v>177</v>
      </c>
      <c r="AL4" s="6" t="s">
        <v>188</v>
      </c>
      <c r="AO4" t="s">
        <v>126</v>
      </c>
      <c r="AP4" t="s">
        <v>125</v>
      </c>
    </row>
    <row r="5" spans="1:42" x14ac:dyDescent="0.25">
      <c r="A5" t="s">
        <v>17</v>
      </c>
      <c r="B5" t="str">
        <f t="shared" ref="B5:B27" si="4">"E_"&amp;AH5&amp;"_"&amp;AI5&amp;"_"&amp;AJ5&amp;"_"&amp;AL5</f>
        <v>E_THM_COA_COQ_01</v>
      </c>
      <c r="C5" t="str">
        <f t="shared" si="0"/>
        <v>Electricity Power Plant with CCS_USC with 30% carbon capture and sequestration (CCS)</v>
      </c>
      <c r="D5" t="s">
        <v>18</v>
      </c>
      <c r="E5" t="s">
        <v>19</v>
      </c>
      <c r="F5" t="s">
        <v>20</v>
      </c>
      <c r="K5" t="str">
        <f t="shared" si="1"/>
        <v>E_THM_COA_COQ_01</v>
      </c>
      <c r="L5" t="str">
        <f t="shared" si="2"/>
        <v>Electricity Power Plant with CCS_USC with 30% carbon capture and sequestration (CCS)</v>
      </c>
      <c r="M5" t="str">
        <f t="shared" si="3"/>
        <v>ELCCOA</v>
      </c>
      <c r="N5" t="s">
        <v>201</v>
      </c>
      <c r="O5" t="str">
        <f>NEMS_EMM_AEO2022!L4</f>
        <v>MUSD2021</v>
      </c>
      <c r="P5" t="s">
        <v>92</v>
      </c>
      <c r="Q5">
        <f>NEMS_EMM_AEO2022!H4</f>
        <v>5096</v>
      </c>
      <c r="R5" s="11">
        <f>NEMS_EMM_AEO2022!I4</f>
        <v>7.41</v>
      </c>
      <c r="S5" s="12">
        <f>NEMS_EMM_AEO2022!J4</f>
        <v>56.84</v>
      </c>
      <c r="T5" s="12">
        <f>(1/(NEMS_EMM_AEO2022!K4*0.2931)*1000)</f>
        <v>0.34989281558433794</v>
      </c>
      <c r="V5" s="1">
        <v>45</v>
      </c>
      <c r="W5">
        <v>31.536000000000001</v>
      </c>
      <c r="X5" s="1">
        <v>0.85</v>
      </c>
      <c r="Z5">
        <f>NEMS_EMM_AEO2022!C4+1</f>
        <v>2026</v>
      </c>
      <c r="AB5">
        <f>NEMS_EMM_AEO2022!E4</f>
        <v>4</v>
      </c>
      <c r="AC5">
        <f>NEMS_EMM_AEO2022!D4/1000</f>
        <v>0.65</v>
      </c>
      <c r="AG5" t="s">
        <v>167</v>
      </c>
      <c r="AH5" t="s">
        <v>189</v>
      </c>
      <c r="AI5" s="7" t="s">
        <v>178</v>
      </c>
      <c r="AJ5" t="s">
        <v>114</v>
      </c>
      <c r="AK5" t="s">
        <v>191</v>
      </c>
      <c r="AL5" s="6" t="s">
        <v>188</v>
      </c>
      <c r="AO5" t="s">
        <v>124</v>
      </c>
      <c r="AP5" t="s">
        <v>123</v>
      </c>
    </row>
    <row r="6" spans="1:42" x14ac:dyDescent="0.25">
      <c r="A6" t="s">
        <v>17</v>
      </c>
      <c r="B6" t="str">
        <f t="shared" si="4"/>
        <v>E_THM_COA_COQ_01</v>
      </c>
      <c r="C6" t="str">
        <f t="shared" si="0"/>
        <v>Electricity Power Plant with CCS_USC with 90% CCS</v>
      </c>
      <c r="D6" t="s">
        <v>18</v>
      </c>
      <c r="E6" t="s">
        <v>19</v>
      </c>
      <c r="F6" t="s">
        <v>20</v>
      </c>
      <c r="K6" t="str">
        <f t="shared" si="1"/>
        <v>E_THM_COA_COQ_01</v>
      </c>
      <c r="L6" t="str">
        <f t="shared" si="2"/>
        <v>Electricity Power Plant with CCS_USC with 90% CCS</v>
      </c>
      <c r="M6" t="str">
        <f t="shared" si="3"/>
        <v>ELCCOA</v>
      </c>
      <c r="N6" t="s">
        <v>201</v>
      </c>
      <c r="O6" t="str">
        <f>NEMS_EMM_AEO2022!L5</f>
        <v>MUSD2021</v>
      </c>
      <c r="P6" t="s">
        <v>92</v>
      </c>
      <c r="Q6">
        <f>NEMS_EMM_AEO2022!H5</f>
        <v>6625</v>
      </c>
      <c r="R6" s="11">
        <f>NEMS_EMM_AEO2022!I5</f>
        <v>11.49</v>
      </c>
      <c r="S6" s="12">
        <f>NEMS_EMM_AEO2022!J5</f>
        <v>62.34</v>
      </c>
      <c r="T6" s="12">
        <f>(1/(NEMS_EMM_AEO2022!K5*0.2931)*1000)</f>
        <v>0.27279162427143833</v>
      </c>
      <c r="V6" s="1">
        <v>45</v>
      </c>
      <c r="W6">
        <v>31.536000000000001</v>
      </c>
      <c r="X6" s="1">
        <v>0.85</v>
      </c>
      <c r="Z6">
        <f>NEMS_EMM_AEO2022!C5+1</f>
        <v>2026</v>
      </c>
      <c r="AB6">
        <f>NEMS_EMM_AEO2022!E5</f>
        <v>4</v>
      </c>
      <c r="AC6">
        <f>NEMS_EMM_AEO2022!D5/1000</f>
        <v>0.65</v>
      </c>
      <c r="AG6" t="s">
        <v>166</v>
      </c>
      <c r="AH6" t="s">
        <v>189</v>
      </c>
      <c r="AI6" s="7" t="s">
        <v>178</v>
      </c>
      <c r="AJ6" t="s">
        <v>114</v>
      </c>
      <c r="AK6" t="s">
        <v>191</v>
      </c>
      <c r="AL6" s="6" t="s">
        <v>188</v>
      </c>
      <c r="AO6" t="s">
        <v>122</v>
      </c>
      <c r="AP6" t="s">
        <v>121</v>
      </c>
    </row>
    <row r="7" spans="1:42" x14ac:dyDescent="0.25">
      <c r="A7" t="s">
        <v>17</v>
      </c>
      <c r="B7" t="str">
        <f t="shared" si="4"/>
        <v>E_THM_NGA_CCG_01</v>
      </c>
      <c r="C7" t="str">
        <f t="shared" si="0"/>
        <v>Electricity Power Plant_Combined-cycle—single shaft</v>
      </c>
      <c r="D7" t="s">
        <v>18</v>
      </c>
      <c r="E7" t="s">
        <v>19</v>
      </c>
      <c r="F7" t="s">
        <v>20</v>
      </c>
      <c r="K7" t="str">
        <f t="shared" si="1"/>
        <v>E_THM_NGA_CCG_01</v>
      </c>
      <c r="L7" t="str">
        <f t="shared" si="2"/>
        <v>Electricity Power Plant_Combined-cycle—single shaft</v>
      </c>
      <c r="M7" t="str">
        <f t="shared" si="3"/>
        <v>ELCNGA</v>
      </c>
      <c r="N7" t="s">
        <v>201</v>
      </c>
      <c r="O7" t="str">
        <f>NEMS_EMM_AEO2022!L6</f>
        <v>MUSD2021</v>
      </c>
      <c r="P7" t="s">
        <v>92</v>
      </c>
      <c r="Q7">
        <f>NEMS_EMM_AEO2022!H6</f>
        <v>1201</v>
      </c>
      <c r="R7" s="11">
        <f>NEMS_EMM_AEO2022!I6</f>
        <v>2.67</v>
      </c>
      <c r="S7" s="12">
        <f>NEMS_EMM_AEO2022!J6</f>
        <v>14.76</v>
      </c>
      <c r="T7" s="12">
        <f>(1/(NEMS_EMM_AEO2022!K6*0.2931)*1000)</f>
        <v>0.5305247776026869</v>
      </c>
      <c r="V7" s="1">
        <v>45</v>
      </c>
      <c r="W7">
        <v>31.536000000000001</v>
      </c>
      <c r="X7" s="1">
        <v>0.85</v>
      </c>
      <c r="Z7">
        <f>NEMS_EMM_AEO2022!C6+1</f>
        <v>2025</v>
      </c>
      <c r="AB7">
        <f>NEMS_EMM_AEO2022!E6</f>
        <v>3</v>
      </c>
      <c r="AC7">
        <f>NEMS_EMM_AEO2022!D6/1000</f>
        <v>0.41799999999999998</v>
      </c>
      <c r="AG7" t="s">
        <v>165</v>
      </c>
      <c r="AH7" t="s">
        <v>189</v>
      </c>
      <c r="AI7" s="7" t="s">
        <v>179</v>
      </c>
      <c r="AJ7" s="1" t="s">
        <v>88</v>
      </c>
      <c r="AK7" t="s">
        <v>177</v>
      </c>
      <c r="AL7" s="6" t="s">
        <v>188</v>
      </c>
      <c r="AO7" t="s">
        <v>120</v>
      </c>
      <c r="AP7" t="s">
        <v>119</v>
      </c>
    </row>
    <row r="8" spans="1:42" x14ac:dyDescent="0.25">
      <c r="A8" t="s">
        <v>17</v>
      </c>
      <c r="B8" t="str">
        <f t="shared" si="4"/>
        <v>E_THM_NGA_CCG_01</v>
      </c>
      <c r="C8" t="str">
        <f t="shared" si="0"/>
        <v>Electricity Power Plant_Combined-cycle—multi shaft</v>
      </c>
      <c r="D8" t="s">
        <v>18</v>
      </c>
      <c r="E8" t="s">
        <v>19</v>
      </c>
      <c r="F8" t="s">
        <v>20</v>
      </c>
      <c r="K8" t="str">
        <f t="shared" si="1"/>
        <v>E_THM_NGA_CCG_01</v>
      </c>
      <c r="L8" t="str">
        <f t="shared" si="2"/>
        <v>Electricity Power Plant_Combined-cycle—multi shaft</v>
      </c>
      <c r="M8" t="str">
        <f t="shared" si="3"/>
        <v>ELCNGA</v>
      </c>
      <c r="N8" t="s">
        <v>201</v>
      </c>
      <c r="O8" t="str">
        <f>NEMS_EMM_AEO2022!L7</f>
        <v>MUSD2021</v>
      </c>
      <c r="P8" t="s">
        <v>92</v>
      </c>
      <c r="Q8">
        <f>NEMS_EMM_AEO2022!H7</f>
        <v>1062</v>
      </c>
      <c r="R8" s="11">
        <f>NEMS_EMM_AEO2022!I7</f>
        <v>1.96</v>
      </c>
      <c r="S8" s="12">
        <f>NEMS_EMM_AEO2022!J7</f>
        <v>12.77</v>
      </c>
      <c r="T8" s="12">
        <f>(1/(NEMS_EMM_AEO2022!K7*0.2931)*1000)</f>
        <v>0.53560515616371729</v>
      </c>
      <c r="V8" s="1">
        <v>45</v>
      </c>
      <c r="W8">
        <v>31.536000000000001</v>
      </c>
      <c r="X8" s="1">
        <v>0.85</v>
      </c>
      <c r="Z8">
        <f>NEMS_EMM_AEO2022!C7+1</f>
        <v>2025</v>
      </c>
      <c r="AB8">
        <f>NEMS_EMM_AEO2022!E7</f>
        <v>3</v>
      </c>
      <c r="AC8">
        <f>NEMS_EMM_AEO2022!D7/1000</f>
        <v>1.083</v>
      </c>
      <c r="AG8" t="s">
        <v>164</v>
      </c>
      <c r="AH8" t="s">
        <v>189</v>
      </c>
      <c r="AI8" s="7" t="s">
        <v>179</v>
      </c>
      <c r="AJ8" s="1" t="s">
        <v>88</v>
      </c>
      <c r="AK8" t="s">
        <v>177</v>
      </c>
      <c r="AL8" s="6" t="s">
        <v>188</v>
      </c>
      <c r="AO8" t="s">
        <v>118</v>
      </c>
      <c r="AP8" t="s">
        <v>117</v>
      </c>
    </row>
    <row r="9" spans="1:42" x14ac:dyDescent="0.25">
      <c r="A9" t="s">
        <v>17</v>
      </c>
      <c r="B9" t="str">
        <f t="shared" si="4"/>
        <v>E_THM_NGA_ACS_01</v>
      </c>
      <c r="C9" t="str">
        <f t="shared" si="0"/>
        <v>Electricity Power Plant with CCS_Combined-cycle with 90% CCS</v>
      </c>
      <c r="D9" t="s">
        <v>18</v>
      </c>
      <c r="E9" t="s">
        <v>19</v>
      </c>
      <c r="F9" t="s">
        <v>20</v>
      </c>
      <c r="K9" t="str">
        <f t="shared" si="1"/>
        <v>E_THM_NGA_ACS_01</v>
      </c>
      <c r="L9" t="str">
        <f t="shared" si="2"/>
        <v>Electricity Power Plant with CCS_Combined-cycle with 90% CCS</v>
      </c>
      <c r="M9" t="str">
        <f t="shared" si="3"/>
        <v>ELCNGA</v>
      </c>
      <c r="N9" t="s">
        <v>201</v>
      </c>
      <c r="O9" t="str">
        <f>NEMS_EMM_AEO2022!L8</f>
        <v>MUSD2021</v>
      </c>
      <c r="P9" t="s">
        <v>92</v>
      </c>
      <c r="Q9">
        <f>NEMS_EMM_AEO2022!H8</f>
        <v>2845</v>
      </c>
      <c r="R9" s="11">
        <f>NEMS_EMM_AEO2022!I8</f>
        <v>6.11</v>
      </c>
      <c r="S9" s="12">
        <f>NEMS_EMM_AEO2022!J8</f>
        <v>28.89</v>
      </c>
      <c r="T9" s="12">
        <f>(1/(NEMS_EMM_AEO2022!K8*0.2931)*1000)</f>
        <v>0.47891701919748447</v>
      </c>
      <c r="V9" s="1">
        <v>45</v>
      </c>
      <c r="W9">
        <v>31.536000000000001</v>
      </c>
      <c r="X9" s="1">
        <v>0.85</v>
      </c>
      <c r="Z9">
        <f>NEMS_EMM_AEO2022!C8+1</f>
        <v>2025</v>
      </c>
      <c r="AB9">
        <f>NEMS_EMM_AEO2022!E8</f>
        <v>3</v>
      </c>
      <c r="AC9">
        <f>NEMS_EMM_AEO2022!D8/1000</f>
        <v>0.377</v>
      </c>
      <c r="AG9" t="s">
        <v>163</v>
      </c>
      <c r="AH9" t="s">
        <v>189</v>
      </c>
      <c r="AI9" s="7" t="s">
        <v>179</v>
      </c>
      <c r="AJ9" t="s">
        <v>80</v>
      </c>
      <c r="AK9" t="s">
        <v>191</v>
      </c>
      <c r="AL9" s="6" t="s">
        <v>188</v>
      </c>
      <c r="AO9" t="s">
        <v>116</v>
      </c>
      <c r="AP9" t="s">
        <v>115</v>
      </c>
    </row>
    <row r="10" spans="1:42" x14ac:dyDescent="0.25">
      <c r="A10" t="s">
        <v>17</v>
      </c>
      <c r="B10" t="str">
        <f t="shared" si="4"/>
        <v>E_THM_NGA_ICE_01</v>
      </c>
      <c r="C10" t="str">
        <f t="shared" si="0"/>
        <v>Electricity Power Plant_Internal combustion engine</v>
      </c>
      <c r="D10" t="s">
        <v>18</v>
      </c>
      <c r="E10" t="s">
        <v>19</v>
      </c>
      <c r="F10" t="s">
        <v>20</v>
      </c>
      <c r="K10" t="str">
        <f t="shared" si="1"/>
        <v>E_THM_NGA_ICE_01</v>
      </c>
      <c r="L10" t="str">
        <f t="shared" si="2"/>
        <v>Electricity Power Plant_Internal combustion engine</v>
      </c>
      <c r="M10" t="str">
        <f t="shared" si="3"/>
        <v>ELCNGA</v>
      </c>
      <c r="N10" t="s">
        <v>201</v>
      </c>
      <c r="O10" t="str">
        <f>NEMS_EMM_AEO2022!L9</f>
        <v>MUSD2021</v>
      </c>
      <c r="P10" t="s">
        <v>92</v>
      </c>
      <c r="Q10">
        <f>NEMS_EMM_AEO2022!H9</f>
        <v>2018</v>
      </c>
      <c r="R10" s="11">
        <f>NEMS_EMM_AEO2022!I9</f>
        <v>5.96</v>
      </c>
      <c r="S10" s="12">
        <f>NEMS_EMM_AEO2022!J9</f>
        <v>36.81</v>
      </c>
      <c r="T10" s="12">
        <f>(1/(NEMS_EMM_AEO2022!K9*0.2931)*1000)</f>
        <v>0.41130860093585042</v>
      </c>
      <c r="V10" s="1">
        <v>45</v>
      </c>
      <c r="W10">
        <v>31.536000000000001</v>
      </c>
      <c r="X10" s="1">
        <v>0.85</v>
      </c>
      <c r="Z10">
        <f>NEMS_EMM_AEO2022!C9+1</f>
        <v>2024</v>
      </c>
      <c r="AB10">
        <f>NEMS_EMM_AEO2022!E9</f>
        <v>2</v>
      </c>
      <c r="AC10">
        <f>NEMS_EMM_AEO2022!D9/1000</f>
        <v>2.1000000000000001E-2</v>
      </c>
      <c r="AG10" t="s">
        <v>162</v>
      </c>
      <c r="AH10" t="s">
        <v>189</v>
      </c>
      <c r="AI10" s="7" t="s">
        <v>179</v>
      </c>
      <c r="AJ10" t="s">
        <v>102</v>
      </c>
      <c r="AK10" t="s">
        <v>177</v>
      </c>
      <c r="AL10" s="6" t="s">
        <v>188</v>
      </c>
      <c r="AO10" t="s">
        <v>114</v>
      </c>
      <c r="AP10" t="s">
        <v>113</v>
      </c>
    </row>
    <row r="11" spans="1:42" x14ac:dyDescent="0.25">
      <c r="A11" t="s">
        <v>17</v>
      </c>
      <c r="B11" t="str">
        <f t="shared" si="4"/>
        <v>E_THM_NGA_CTA_01</v>
      </c>
      <c r="C11" t="str">
        <f t="shared" si="0"/>
        <v>Electricity Power Plant_Combustion turbine—aeroderivative</v>
      </c>
      <c r="D11" t="s">
        <v>18</v>
      </c>
      <c r="E11" t="s">
        <v>19</v>
      </c>
      <c r="F11" t="s">
        <v>20</v>
      </c>
      <c r="K11" t="str">
        <f t="shared" si="1"/>
        <v>E_THM_NGA_CTA_01</v>
      </c>
      <c r="L11" t="str">
        <f t="shared" si="2"/>
        <v>Electricity Power Plant_Combustion turbine—aeroderivative</v>
      </c>
      <c r="M11" t="str">
        <f t="shared" si="3"/>
        <v>ELCNGA</v>
      </c>
      <c r="N11" t="s">
        <v>201</v>
      </c>
      <c r="O11" t="str">
        <f>NEMS_EMM_AEO2022!L10</f>
        <v>MUSD2021</v>
      </c>
      <c r="P11" t="s">
        <v>92</v>
      </c>
      <c r="Q11">
        <f>NEMS_EMM_AEO2022!H10</f>
        <v>1294</v>
      </c>
      <c r="R11" s="11">
        <f>NEMS_EMM_AEO2022!I10</f>
        <v>4.92</v>
      </c>
      <c r="S11" s="12">
        <f>NEMS_EMM_AEO2022!J10</f>
        <v>17.059999999999999</v>
      </c>
      <c r="T11" s="12">
        <f>(1/(NEMS_EMM_AEO2022!K10*0.2931)*1000)</f>
        <v>0.37393740078505916</v>
      </c>
      <c r="V11" s="1">
        <v>45</v>
      </c>
      <c r="W11">
        <v>31.536000000000001</v>
      </c>
      <c r="X11" s="1">
        <v>0.85</v>
      </c>
      <c r="Z11">
        <f>NEMS_EMM_AEO2022!C10+1</f>
        <v>2024</v>
      </c>
      <c r="AB11">
        <f>NEMS_EMM_AEO2022!E10</f>
        <v>2</v>
      </c>
      <c r="AC11">
        <f>NEMS_EMM_AEO2022!D10/1000</f>
        <v>0.105</v>
      </c>
      <c r="AG11" t="s">
        <v>161</v>
      </c>
      <c r="AH11" t="s">
        <v>189</v>
      </c>
      <c r="AI11" s="7" t="s">
        <v>179</v>
      </c>
      <c r="AJ11" t="s">
        <v>94</v>
      </c>
      <c r="AK11" t="s">
        <v>177</v>
      </c>
      <c r="AL11" s="6" t="s">
        <v>188</v>
      </c>
      <c r="AO11" t="s">
        <v>112</v>
      </c>
      <c r="AP11" t="s">
        <v>111</v>
      </c>
    </row>
    <row r="12" spans="1:42" x14ac:dyDescent="0.25">
      <c r="A12" t="s">
        <v>17</v>
      </c>
      <c r="B12" t="str">
        <f t="shared" si="4"/>
        <v>E_THM_NGA_ACT_01</v>
      </c>
      <c r="C12" t="str">
        <f t="shared" si="0"/>
        <v>Electricity Power Plant_Combustion turbine—industrial frame</v>
      </c>
      <c r="D12" t="s">
        <v>18</v>
      </c>
      <c r="E12" t="s">
        <v>19</v>
      </c>
      <c r="F12" t="s">
        <v>20</v>
      </c>
      <c r="K12" t="str">
        <f t="shared" si="1"/>
        <v>E_THM_NGA_ACT_01</v>
      </c>
      <c r="L12" t="str">
        <f t="shared" si="2"/>
        <v>Electricity Power Plant_Combustion turbine—industrial frame</v>
      </c>
      <c r="M12" t="str">
        <f t="shared" si="3"/>
        <v>ELCNGA</v>
      </c>
      <c r="N12" t="s">
        <v>201</v>
      </c>
      <c r="O12" t="str">
        <f>NEMS_EMM_AEO2022!L11</f>
        <v>MUSD2021</v>
      </c>
      <c r="P12" t="s">
        <v>92</v>
      </c>
      <c r="Q12">
        <f>NEMS_EMM_AEO2022!H11</f>
        <v>785</v>
      </c>
      <c r="R12" s="11">
        <f>NEMS_EMM_AEO2022!I11</f>
        <v>4.71</v>
      </c>
      <c r="S12" s="12">
        <f>NEMS_EMM_AEO2022!J11</f>
        <v>7.33</v>
      </c>
      <c r="T12" s="12">
        <f>(1/(NEMS_EMM_AEO2022!K11*0.2931)*1000)</f>
        <v>0.34445278594274398</v>
      </c>
      <c r="V12" s="1">
        <v>45</v>
      </c>
      <c r="W12">
        <v>31.536000000000001</v>
      </c>
      <c r="X12" s="1">
        <v>0.85</v>
      </c>
      <c r="Z12">
        <f>NEMS_EMM_AEO2022!C11+1</f>
        <v>2024</v>
      </c>
      <c r="AB12">
        <f>NEMS_EMM_AEO2022!E11</f>
        <v>2</v>
      </c>
      <c r="AC12">
        <f>NEMS_EMM_AEO2022!D11/1000</f>
        <v>0.23699999999999999</v>
      </c>
      <c r="AG12" t="s">
        <v>160</v>
      </c>
      <c r="AH12" t="s">
        <v>189</v>
      </c>
      <c r="AI12" s="7" t="s">
        <v>179</v>
      </c>
      <c r="AJ12" s="1" t="s">
        <v>92</v>
      </c>
      <c r="AK12" t="s">
        <v>177</v>
      </c>
      <c r="AL12" s="6" t="s">
        <v>188</v>
      </c>
      <c r="AO12" t="s">
        <v>110</v>
      </c>
      <c r="AP12" t="s">
        <v>109</v>
      </c>
    </row>
    <row r="13" spans="1:42" x14ac:dyDescent="0.25">
      <c r="A13" t="s">
        <v>17</v>
      </c>
      <c r="B13" t="str">
        <f t="shared" si="4"/>
        <v>E_THM_H2_FCG_01</v>
      </c>
      <c r="C13" t="str">
        <f t="shared" si="0"/>
        <v>Electricity Power Plant_Fuel cells</v>
      </c>
      <c r="D13" t="s">
        <v>18</v>
      </c>
      <c r="E13" t="s">
        <v>19</v>
      </c>
      <c r="F13" t="s">
        <v>20</v>
      </c>
      <c r="K13" t="str">
        <f t="shared" si="1"/>
        <v>E_THM_H2_FCG_01</v>
      </c>
      <c r="L13" t="str">
        <f t="shared" si="2"/>
        <v>Electricity Power Plant_Fuel cells</v>
      </c>
      <c r="M13" t="str">
        <f t="shared" si="3"/>
        <v>ELCH2</v>
      </c>
      <c r="N13" t="s">
        <v>201</v>
      </c>
      <c r="O13" t="str">
        <f>NEMS_EMM_AEO2022!L12</f>
        <v>MUSD2021</v>
      </c>
      <c r="P13" t="s">
        <v>92</v>
      </c>
      <c r="Q13">
        <f>NEMS_EMM_AEO2022!H12</f>
        <v>7224</v>
      </c>
      <c r="R13" s="11">
        <f>NEMS_EMM_AEO2022!I12</f>
        <v>0.62</v>
      </c>
      <c r="S13" s="12">
        <f>NEMS_EMM_AEO2022!J12</f>
        <v>32.229999999999997</v>
      </c>
      <c r="T13" s="12">
        <f>(1/(NEMS_EMM_AEO2022!K12*0.2931)*1000)</f>
        <v>0.52740838533975565</v>
      </c>
      <c r="V13" s="1">
        <v>30</v>
      </c>
      <c r="W13">
        <v>31.536000000000001</v>
      </c>
      <c r="X13" s="1">
        <v>0.85</v>
      </c>
      <c r="Z13">
        <f>NEMS_EMM_AEO2022!C12+1</f>
        <v>2025</v>
      </c>
      <c r="AB13">
        <f>NEMS_EMM_AEO2022!E12</f>
        <v>3</v>
      </c>
      <c r="AC13">
        <f>NEMS_EMM_AEO2022!D12/1000</f>
        <v>0.01</v>
      </c>
      <c r="AG13" t="s">
        <v>159</v>
      </c>
      <c r="AH13" t="s">
        <v>189</v>
      </c>
      <c r="AI13" s="7" t="s">
        <v>202</v>
      </c>
      <c r="AJ13" t="s">
        <v>78</v>
      </c>
      <c r="AK13" t="s">
        <v>177</v>
      </c>
      <c r="AL13" s="6" t="s">
        <v>188</v>
      </c>
      <c r="AO13" t="s">
        <v>108</v>
      </c>
      <c r="AP13" t="s">
        <v>107</v>
      </c>
    </row>
    <row r="14" spans="1:42" x14ac:dyDescent="0.25">
      <c r="A14" t="s">
        <v>17</v>
      </c>
      <c r="B14" t="str">
        <f t="shared" si="4"/>
        <v>E_THM_NUC_CNU_01</v>
      </c>
      <c r="C14" t="str">
        <f t="shared" si="0"/>
        <v>Electricity Power Plant_Nuclear—light water reactor</v>
      </c>
      <c r="D14" t="s">
        <v>18</v>
      </c>
      <c r="E14" t="s">
        <v>19</v>
      </c>
      <c r="F14" t="s">
        <v>20</v>
      </c>
      <c r="K14" t="str">
        <f t="shared" si="1"/>
        <v>E_THM_NUC_CNU_01</v>
      </c>
      <c r="L14" t="str">
        <f t="shared" si="2"/>
        <v>Electricity Power Plant_Nuclear—light water reactor</v>
      </c>
      <c r="M14" t="str">
        <f t="shared" si="3"/>
        <v>ELCNUC</v>
      </c>
      <c r="N14" t="s">
        <v>201</v>
      </c>
      <c r="O14" t="str">
        <f>NEMS_EMM_AEO2022!L13</f>
        <v>MUSD2021</v>
      </c>
      <c r="P14" t="s">
        <v>92</v>
      </c>
      <c r="Q14">
        <f>NEMS_EMM_AEO2022!H13</f>
        <v>7030</v>
      </c>
      <c r="R14" s="11">
        <f>NEMS_EMM_AEO2022!I13</f>
        <v>2.48</v>
      </c>
      <c r="S14" s="12">
        <f>NEMS_EMM_AEO2022!J13</f>
        <v>127.35</v>
      </c>
      <c r="T14" s="12">
        <f>(1/(NEMS_EMM_AEO2022!K13*0.2931)*1000)</f>
        <v>0.32670734891916869</v>
      </c>
      <c r="V14" s="1">
        <v>50</v>
      </c>
      <c r="W14">
        <v>31.536000000000001</v>
      </c>
      <c r="X14" s="1">
        <v>0.85</v>
      </c>
      <c r="Z14">
        <f>NEMS_EMM_AEO2022!C13+1</f>
        <v>2028</v>
      </c>
      <c r="AB14">
        <f>NEMS_EMM_AEO2022!E13</f>
        <v>6</v>
      </c>
      <c r="AC14">
        <f>NEMS_EMM_AEO2022!D13/1000</f>
        <v>2.1560000000000001</v>
      </c>
      <c r="AG14" t="s">
        <v>158</v>
      </c>
      <c r="AH14" t="s">
        <v>189</v>
      </c>
      <c r="AI14" s="7" t="s">
        <v>181</v>
      </c>
      <c r="AJ14" t="s">
        <v>76</v>
      </c>
      <c r="AK14" t="s">
        <v>177</v>
      </c>
      <c r="AL14" s="6" t="s">
        <v>188</v>
      </c>
      <c r="AO14" t="s">
        <v>106</v>
      </c>
      <c r="AP14" t="s">
        <v>105</v>
      </c>
    </row>
    <row r="15" spans="1:42" x14ac:dyDescent="0.25">
      <c r="A15" t="s">
        <v>17</v>
      </c>
      <c r="B15" t="str">
        <f t="shared" si="4"/>
        <v>E_THM_NUC_SMR_01</v>
      </c>
      <c r="C15" t="str">
        <f t="shared" si="0"/>
        <v>Electricity Power Plant_Nuclear—small modular reactor</v>
      </c>
      <c r="D15" t="s">
        <v>18</v>
      </c>
      <c r="E15" t="s">
        <v>19</v>
      </c>
      <c r="F15" t="s">
        <v>20</v>
      </c>
      <c r="K15" t="str">
        <f t="shared" si="1"/>
        <v>E_THM_NUC_SMR_01</v>
      </c>
      <c r="L15" t="str">
        <f t="shared" si="2"/>
        <v>Electricity Power Plant_Nuclear—small modular reactor</v>
      </c>
      <c r="M15" t="str">
        <f t="shared" si="3"/>
        <v>ELCNUC</v>
      </c>
      <c r="N15" t="s">
        <v>201</v>
      </c>
      <c r="O15" t="str">
        <f>NEMS_EMM_AEO2022!L14</f>
        <v>MUSD2021</v>
      </c>
      <c r="P15" t="s">
        <v>92</v>
      </c>
      <c r="Q15">
        <f>NEMS_EMM_AEO2022!H14</f>
        <v>7547</v>
      </c>
      <c r="R15" s="11">
        <f>NEMS_EMM_AEO2022!I14</f>
        <v>3.14</v>
      </c>
      <c r="S15" s="12">
        <f>NEMS_EMM_AEO2022!J14</f>
        <v>99.46</v>
      </c>
      <c r="T15" s="12">
        <f>(1/(NEMS_EMM_AEO2022!K14*0.2931)*1000)</f>
        <v>0.32670734891916869</v>
      </c>
      <c r="V15" s="1">
        <v>50</v>
      </c>
      <c r="W15">
        <v>31.536000000000001</v>
      </c>
      <c r="X15" s="1">
        <v>0.85</v>
      </c>
      <c r="Z15">
        <f>NEMS_EMM_AEO2022!C14+1</f>
        <v>2029</v>
      </c>
      <c r="AB15">
        <f>NEMS_EMM_AEO2022!E14</f>
        <v>6</v>
      </c>
      <c r="AC15">
        <f>NEMS_EMM_AEO2022!D14/1000</f>
        <v>0.6</v>
      </c>
      <c r="AG15" t="s">
        <v>157</v>
      </c>
      <c r="AH15" t="s">
        <v>189</v>
      </c>
      <c r="AI15" s="7" t="s">
        <v>181</v>
      </c>
      <c r="AJ15" t="s">
        <v>72</v>
      </c>
      <c r="AK15" t="s">
        <v>177</v>
      </c>
      <c r="AL15" s="6" t="s">
        <v>188</v>
      </c>
      <c r="AO15" t="s">
        <v>104</v>
      </c>
      <c r="AP15" t="s">
        <v>103</v>
      </c>
    </row>
    <row r="16" spans="1:42" x14ac:dyDescent="0.25">
      <c r="A16" t="s">
        <v>17</v>
      </c>
      <c r="B16" t="str">
        <f t="shared" si="4"/>
        <v>E_THM_OTH_DGB_01</v>
      </c>
      <c r="C16" t="str">
        <f t="shared" si="0"/>
        <v>Electricity Power Plant_Distributed generation—base</v>
      </c>
      <c r="D16" t="s">
        <v>18</v>
      </c>
      <c r="E16" t="s">
        <v>19</v>
      </c>
      <c r="F16" t="s">
        <v>20</v>
      </c>
      <c r="K16" t="str">
        <f t="shared" si="1"/>
        <v>E_THM_OTH_DGB_01</v>
      </c>
      <c r="L16" t="str">
        <f t="shared" si="2"/>
        <v>Electricity Power Plant_Distributed generation—base</v>
      </c>
      <c r="M16" t="str">
        <f t="shared" si="3"/>
        <v>ELCOTH</v>
      </c>
      <c r="N16" t="s">
        <v>201</v>
      </c>
      <c r="O16" t="str">
        <f>NEMS_EMM_AEO2022!L15</f>
        <v>MUSD2021</v>
      </c>
      <c r="P16" t="s">
        <v>92</v>
      </c>
      <c r="Q16">
        <f>NEMS_EMM_AEO2022!H15</f>
        <v>1731</v>
      </c>
      <c r="R16" s="11">
        <f>NEMS_EMM_AEO2022!I15</f>
        <v>9.01</v>
      </c>
      <c r="S16" s="12">
        <f>NEMS_EMM_AEO2022!J15</f>
        <v>20.27</v>
      </c>
      <c r="T16" s="12">
        <f>(1/(NEMS_EMM_AEO2022!K15*0.2931)*1000)</f>
        <v>0.3823607357125271</v>
      </c>
      <c r="V16" s="1">
        <v>25</v>
      </c>
      <c r="W16">
        <v>31.536000000000001</v>
      </c>
      <c r="X16" s="1">
        <v>0.85</v>
      </c>
      <c r="Z16">
        <f>NEMS_EMM_AEO2022!C15+1</f>
        <v>2025</v>
      </c>
      <c r="AB16">
        <f>NEMS_EMM_AEO2022!E15</f>
        <v>3</v>
      </c>
      <c r="AC16">
        <f>NEMS_EMM_AEO2022!D15/1000</f>
        <v>2E-3</v>
      </c>
      <c r="AG16" t="s">
        <v>156</v>
      </c>
      <c r="AH16" t="s">
        <v>189</v>
      </c>
      <c r="AI16" s="7" t="s">
        <v>197</v>
      </c>
      <c r="AJ16" t="s">
        <v>24</v>
      </c>
      <c r="AK16" t="s">
        <v>177</v>
      </c>
      <c r="AL16" s="6" t="s">
        <v>188</v>
      </c>
      <c r="AO16" t="s">
        <v>102</v>
      </c>
      <c r="AP16" t="s">
        <v>101</v>
      </c>
    </row>
    <row r="17" spans="1:42" x14ac:dyDescent="0.25">
      <c r="A17" t="s">
        <v>17</v>
      </c>
      <c r="B17" t="str">
        <f t="shared" si="4"/>
        <v>E_THM_OTH_DGP_01</v>
      </c>
      <c r="C17" t="str">
        <f t="shared" si="0"/>
        <v>Electricity Power Plant_Distributed generation—peak</v>
      </c>
      <c r="D17" t="s">
        <v>18</v>
      </c>
      <c r="E17" t="s">
        <v>19</v>
      </c>
      <c r="F17" t="s">
        <v>20</v>
      </c>
      <c r="K17" t="str">
        <f t="shared" si="1"/>
        <v>E_THM_OTH_DGP_01</v>
      </c>
      <c r="L17" t="str">
        <f t="shared" si="2"/>
        <v>Electricity Power Plant_Distributed generation—peak</v>
      </c>
      <c r="M17" t="str">
        <f t="shared" si="3"/>
        <v>ELCOTH</v>
      </c>
      <c r="N17" t="s">
        <v>201</v>
      </c>
      <c r="O17" t="str">
        <f>NEMS_EMM_AEO2022!L16</f>
        <v>MUSD2021</v>
      </c>
      <c r="P17" t="s">
        <v>92</v>
      </c>
      <c r="Q17">
        <f>NEMS_EMM_AEO2022!H16</f>
        <v>2079</v>
      </c>
      <c r="R17" s="11">
        <f>NEMS_EMM_AEO2022!I16</f>
        <v>9.01</v>
      </c>
      <c r="S17" s="12">
        <f>NEMS_EMM_AEO2022!J16</f>
        <v>20.27</v>
      </c>
      <c r="T17" s="12">
        <f>(1/(NEMS_EMM_AEO2022!K16*0.2931)*1000)</f>
        <v>0.34438324868909648</v>
      </c>
      <c r="V17" s="1">
        <v>25</v>
      </c>
      <c r="W17">
        <v>31.536000000000001</v>
      </c>
      <c r="X17" s="1">
        <v>0.85</v>
      </c>
      <c r="Z17">
        <f>NEMS_EMM_AEO2022!C16+1</f>
        <v>2024</v>
      </c>
      <c r="AB17">
        <f>NEMS_EMM_AEO2022!E16</f>
        <v>2</v>
      </c>
      <c r="AC17">
        <f>NEMS_EMM_AEO2022!D16/1000</f>
        <v>1E-3</v>
      </c>
      <c r="AG17" t="s">
        <v>155</v>
      </c>
      <c r="AH17" t="s">
        <v>189</v>
      </c>
      <c r="AI17" s="7" t="s">
        <v>197</v>
      </c>
      <c r="AJ17" t="s">
        <v>22</v>
      </c>
      <c r="AK17" t="s">
        <v>177</v>
      </c>
      <c r="AL17" s="6" t="s">
        <v>188</v>
      </c>
      <c r="AO17" t="s">
        <v>100</v>
      </c>
      <c r="AP17" t="s">
        <v>99</v>
      </c>
    </row>
    <row r="18" spans="1:42" x14ac:dyDescent="0.25">
      <c r="A18" t="s">
        <v>106</v>
      </c>
      <c r="B18" t="str">
        <f t="shared" si="4"/>
        <v>E_STG_ELCC_QST_01</v>
      </c>
      <c r="C18" t="str">
        <f t="shared" si="0"/>
        <v>Storage_Battery storage</v>
      </c>
      <c r="D18" t="s">
        <v>18</v>
      </c>
      <c r="E18" t="s">
        <v>19</v>
      </c>
      <c r="F18" t="s">
        <v>20</v>
      </c>
      <c r="K18" t="str">
        <f t="shared" si="1"/>
        <v>E_STG_ELCC_QST_01</v>
      </c>
      <c r="L18" t="str">
        <f t="shared" si="2"/>
        <v>Storage_Battery storage</v>
      </c>
      <c r="M18" t="str">
        <f>AI18</f>
        <v>ELCC</v>
      </c>
      <c r="N18" t="s">
        <v>201</v>
      </c>
      <c r="O18" t="str">
        <f>NEMS_EMM_AEO2022!L17</f>
        <v>MUSD2021</v>
      </c>
      <c r="Q18">
        <f>NEMS_EMM_AEO2022!H17</f>
        <v>1316</v>
      </c>
      <c r="R18" s="11">
        <f>NEMS_EMM_AEO2022!I17</f>
        <v>0</v>
      </c>
      <c r="S18" s="12">
        <f>NEMS_EMM_AEO2022!J17</f>
        <v>25.96</v>
      </c>
      <c r="T18" s="11"/>
      <c r="U18" s="1">
        <v>1</v>
      </c>
      <c r="V18" s="1">
        <v>25</v>
      </c>
      <c r="W18">
        <v>31.536000000000001</v>
      </c>
      <c r="X18" s="1"/>
      <c r="Y18" s="13">
        <f>2/24</f>
        <v>8.3333333333333329E-2</v>
      </c>
      <c r="Z18">
        <f>NEMS_EMM_AEO2022!C17+1</f>
        <v>2023</v>
      </c>
      <c r="AB18">
        <f>NEMS_EMM_AEO2022!E17</f>
        <v>1</v>
      </c>
      <c r="AC18">
        <f>NEMS_EMM_AEO2022!D17/1000</f>
        <v>0.05</v>
      </c>
      <c r="AG18" t="s">
        <v>154</v>
      </c>
      <c r="AH18" t="s">
        <v>106</v>
      </c>
      <c r="AI18" s="7" t="s">
        <v>201</v>
      </c>
      <c r="AJ18" t="s">
        <v>48</v>
      </c>
      <c r="AK18" t="s">
        <v>192</v>
      </c>
      <c r="AL18" s="6" t="s">
        <v>188</v>
      </c>
      <c r="AO18" t="s">
        <v>98</v>
      </c>
      <c r="AP18" t="s">
        <v>97</v>
      </c>
    </row>
    <row r="19" spans="1:42" x14ac:dyDescent="0.25">
      <c r="A19" t="s">
        <v>17</v>
      </c>
      <c r="B19" t="str">
        <f t="shared" si="4"/>
        <v>E_THM_BSL_BMS_01</v>
      </c>
      <c r="C19" t="str">
        <f t="shared" si="0"/>
        <v>Electricity Power Plant_Biomass</v>
      </c>
      <c r="D19" t="s">
        <v>18</v>
      </c>
      <c r="E19" t="s">
        <v>19</v>
      </c>
      <c r="F19" t="s">
        <v>20</v>
      </c>
      <c r="K19" t="str">
        <f t="shared" si="1"/>
        <v>E_THM_BSL_BMS_01</v>
      </c>
      <c r="L19" t="str">
        <f t="shared" si="2"/>
        <v>Electricity Power Plant_Biomass</v>
      </c>
      <c r="M19" t="str">
        <f t="shared" ref="M19:M27" si="5">"ELC"&amp;AI19</f>
        <v>ELCBSL</v>
      </c>
      <c r="N19" t="s">
        <v>201</v>
      </c>
      <c r="O19" t="str">
        <f>NEMS_EMM_AEO2022!L18</f>
        <v>MUSD2021</v>
      </c>
      <c r="P19" t="s">
        <v>92</v>
      </c>
      <c r="Q19">
        <f>NEMS_EMM_AEO2022!H18</f>
        <v>4525</v>
      </c>
      <c r="R19" s="11">
        <f>NEMS_EMM_AEO2022!I18</f>
        <v>5.0599999999999996</v>
      </c>
      <c r="S19" s="12">
        <f>NEMS_EMM_AEO2022!J18</f>
        <v>131.62</v>
      </c>
      <c r="T19" s="12">
        <f>(1/(NEMS_EMM_AEO2022!K18*0.2931)*1000)</f>
        <v>0.25272628479725034</v>
      </c>
      <c r="V19" s="1">
        <v>45</v>
      </c>
      <c r="W19">
        <v>31.536000000000001</v>
      </c>
      <c r="X19" s="1">
        <v>0.85</v>
      </c>
      <c r="Z19">
        <f>NEMS_EMM_AEO2022!C18+1</f>
        <v>2026</v>
      </c>
      <c r="AB19">
        <f>NEMS_EMM_AEO2022!E18</f>
        <v>4</v>
      </c>
      <c r="AC19">
        <f>NEMS_EMM_AEO2022!D18/1000</f>
        <v>0.05</v>
      </c>
      <c r="AG19" t="s">
        <v>153</v>
      </c>
      <c r="AH19" t="s">
        <v>189</v>
      </c>
      <c r="AI19" s="7" t="s">
        <v>180</v>
      </c>
      <c r="AJ19" t="s">
        <v>68</v>
      </c>
      <c r="AK19" t="s">
        <v>177</v>
      </c>
      <c r="AL19" s="6" t="s">
        <v>188</v>
      </c>
      <c r="AO19" t="s">
        <v>96</v>
      </c>
      <c r="AP19" t="s">
        <v>95</v>
      </c>
    </row>
    <row r="20" spans="1:42" x14ac:dyDescent="0.25">
      <c r="A20" t="s">
        <v>17</v>
      </c>
      <c r="B20" t="str">
        <f t="shared" si="4"/>
        <v>E_RNW_GEO_GTH_01</v>
      </c>
      <c r="C20" t="str">
        <f t="shared" si="0"/>
        <v>Geothermal Plant_Geothermal</v>
      </c>
      <c r="D20" t="s">
        <v>18</v>
      </c>
      <c r="E20" t="s">
        <v>19</v>
      </c>
      <c r="F20" t="s">
        <v>20</v>
      </c>
      <c r="K20" t="str">
        <f t="shared" si="1"/>
        <v>E_RNW_GEO_GTH_01</v>
      </c>
      <c r="L20" t="str">
        <f t="shared" si="2"/>
        <v>Geothermal Plant_Geothermal</v>
      </c>
      <c r="M20" t="str">
        <f t="shared" si="5"/>
        <v>ELCGEO</v>
      </c>
      <c r="N20" t="s">
        <v>201</v>
      </c>
      <c r="O20" t="str">
        <f>NEMS_EMM_AEO2022!L19</f>
        <v>MUSD2021</v>
      </c>
      <c r="P20" t="s">
        <v>92</v>
      </c>
      <c r="Q20">
        <f>NEMS_EMM_AEO2022!H19</f>
        <v>3076</v>
      </c>
      <c r="R20" s="11">
        <f>NEMS_EMM_AEO2022!I19</f>
        <v>1.21</v>
      </c>
      <c r="S20" s="12">
        <f>NEMS_EMM_AEO2022!J19</f>
        <v>143.22</v>
      </c>
      <c r="T20" s="12">
        <f>(1/(NEMS_EMM_AEO2022!K19*0.2931)*1000)</f>
        <v>0.38713319468545093</v>
      </c>
      <c r="V20" s="1">
        <v>35</v>
      </c>
      <c r="W20">
        <v>31.536000000000001</v>
      </c>
      <c r="X20" s="1">
        <v>0.85</v>
      </c>
      <c r="Z20">
        <f>NEMS_EMM_AEO2022!C19+1</f>
        <v>2026</v>
      </c>
      <c r="AB20">
        <f>NEMS_EMM_AEO2022!E19</f>
        <v>4</v>
      </c>
      <c r="AC20">
        <f>NEMS_EMM_AEO2022!D19/1000</f>
        <v>0.05</v>
      </c>
      <c r="AG20" t="s">
        <v>63</v>
      </c>
      <c r="AH20" t="s">
        <v>184</v>
      </c>
      <c r="AI20" s="7" t="s">
        <v>182</v>
      </c>
      <c r="AJ20" t="s">
        <v>64</v>
      </c>
      <c r="AK20" t="s">
        <v>185</v>
      </c>
      <c r="AL20" s="6" t="s">
        <v>188</v>
      </c>
      <c r="AO20" t="s">
        <v>94</v>
      </c>
      <c r="AP20" t="s">
        <v>93</v>
      </c>
    </row>
    <row r="21" spans="1:42" x14ac:dyDescent="0.25">
      <c r="A21" t="s">
        <v>17</v>
      </c>
      <c r="B21" t="str">
        <f t="shared" si="4"/>
        <v>E_RNW_WAT_HYC_01</v>
      </c>
      <c r="C21" t="str">
        <f t="shared" si="0"/>
        <v>Hydro Plant_Conventional hydropower</v>
      </c>
      <c r="D21" t="s">
        <v>18</v>
      </c>
      <c r="E21" t="s">
        <v>19</v>
      </c>
      <c r="F21" t="s">
        <v>20</v>
      </c>
      <c r="K21" t="str">
        <f t="shared" ref="K21:K27" si="6">B21</f>
        <v>E_RNW_WAT_HYC_01</v>
      </c>
      <c r="L21" t="str">
        <f t="shared" ref="L21:L26" si="7">C21</f>
        <v>Hydro Plant_Conventional hydropower</v>
      </c>
      <c r="M21" t="str">
        <f t="shared" si="5"/>
        <v>ELCWAT</v>
      </c>
      <c r="N21" t="s">
        <v>201</v>
      </c>
      <c r="O21" t="str">
        <f>NEMS_EMM_AEO2022!L20</f>
        <v>MUSD2021</v>
      </c>
      <c r="P21" t="s">
        <v>92</v>
      </c>
      <c r="Q21">
        <f>NEMS_EMM_AEO2022!H20</f>
        <v>3083</v>
      </c>
      <c r="R21" s="11">
        <f>NEMS_EMM_AEO2022!I20</f>
        <v>1.46</v>
      </c>
      <c r="S21" s="12">
        <f>NEMS_EMM_AEO2022!J20</f>
        <v>43.78</v>
      </c>
      <c r="T21" s="11">
        <v>1</v>
      </c>
      <c r="V21" s="1">
        <v>100</v>
      </c>
      <c r="W21">
        <v>31.536000000000001</v>
      </c>
      <c r="X21" s="1">
        <v>0.55000000000000004</v>
      </c>
      <c r="Z21">
        <f>NEMS_EMM_AEO2022!C20+1</f>
        <v>2026</v>
      </c>
      <c r="AB21">
        <f>NEMS_EMM_AEO2022!E20</f>
        <v>4</v>
      </c>
      <c r="AC21">
        <f>NEMS_EMM_AEO2022!D20/1000</f>
        <v>0.1</v>
      </c>
      <c r="AG21" t="s">
        <v>151</v>
      </c>
      <c r="AH21" t="s">
        <v>184</v>
      </c>
      <c r="AI21" s="7" t="s">
        <v>218</v>
      </c>
      <c r="AJ21" t="s">
        <v>58</v>
      </c>
      <c r="AK21" t="s">
        <v>183</v>
      </c>
      <c r="AL21" s="6" t="s">
        <v>188</v>
      </c>
      <c r="AO21" t="s">
        <v>92</v>
      </c>
      <c r="AP21" t="s">
        <v>91</v>
      </c>
    </row>
    <row r="22" spans="1:42" x14ac:dyDescent="0.25">
      <c r="A22" t="s">
        <v>17</v>
      </c>
      <c r="B22" t="str">
        <f t="shared" si="4"/>
        <v>E_RNW_WNO_WND_01</v>
      </c>
      <c r="C22" t="str">
        <f t="shared" si="0"/>
        <v>Wind Onshore_Wind</v>
      </c>
      <c r="D22" t="s">
        <v>18</v>
      </c>
      <c r="E22" t="s">
        <v>19</v>
      </c>
      <c r="F22" t="s">
        <v>230</v>
      </c>
      <c r="K22" t="str">
        <f t="shared" si="6"/>
        <v>E_RNW_WNO_WND_01</v>
      </c>
      <c r="L22" t="str">
        <f t="shared" si="7"/>
        <v>Wind Onshore_Wind</v>
      </c>
      <c r="M22" t="str">
        <f t="shared" si="5"/>
        <v>ELCWNO</v>
      </c>
      <c r="N22" t="s">
        <v>232</v>
      </c>
      <c r="O22" t="str">
        <f>NEMS_EMM_AEO2022!L21</f>
        <v>MUSD2021</v>
      </c>
      <c r="P22" t="s">
        <v>92</v>
      </c>
      <c r="Q22">
        <f>NEMS_EMM_AEO2022!H21</f>
        <v>1718</v>
      </c>
      <c r="R22" s="11">
        <f>NEMS_EMM_AEO2022!I21</f>
        <v>0</v>
      </c>
      <c r="S22" s="12">
        <f>NEMS_EMM_AEO2022!J21</f>
        <v>27.57</v>
      </c>
      <c r="T22" s="11">
        <v>1</v>
      </c>
      <c r="V22" s="1">
        <v>25</v>
      </c>
      <c r="W22">
        <v>31.536000000000001</v>
      </c>
      <c r="X22" s="1">
        <v>0.35</v>
      </c>
      <c r="Z22">
        <f>NEMS_EMM_AEO2022!C21+1</f>
        <v>2025</v>
      </c>
      <c r="AB22">
        <f>NEMS_EMM_AEO2022!E21</f>
        <v>3</v>
      </c>
      <c r="AC22">
        <f>NEMS_EMM_AEO2022!D21/1000</f>
        <v>0.2</v>
      </c>
      <c r="AG22" t="s">
        <v>150</v>
      </c>
      <c r="AH22" t="s">
        <v>184</v>
      </c>
      <c r="AI22" s="7" t="s">
        <v>216</v>
      </c>
      <c r="AJ22" t="s">
        <v>42</v>
      </c>
      <c r="AK22" t="s">
        <v>193</v>
      </c>
      <c r="AL22" s="6" t="s">
        <v>188</v>
      </c>
      <c r="AO22" t="s">
        <v>90</v>
      </c>
      <c r="AP22" t="s">
        <v>89</v>
      </c>
    </row>
    <row r="23" spans="1:42" x14ac:dyDescent="0.25">
      <c r="A23" t="s">
        <v>17</v>
      </c>
      <c r="B23" t="str">
        <f t="shared" si="4"/>
        <v>E_RNW_WNF_WFS_01</v>
      </c>
      <c r="C23" t="str">
        <f t="shared" si="0"/>
        <v>Wind Offshore_Wind offshore</v>
      </c>
      <c r="D23" t="s">
        <v>18</v>
      </c>
      <c r="E23" t="s">
        <v>19</v>
      </c>
      <c r="F23" t="s">
        <v>230</v>
      </c>
      <c r="K23" t="str">
        <f t="shared" si="6"/>
        <v>E_RNW_WNF_WFS_01</v>
      </c>
      <c r="L23" t="str">
        <f t="shared" si="7"/>
        <v>Wind Offshore_Wind offshore</v>
      </c>
      <c r="M23" t="str">
        <f t="shared" si="5"/>
        <v>ELCWNF</v>
      </c>
      <c r="N23" t="s">
        <v>233</v>
      </c>
      <c r="O23" t="str">
        <f>NEMS_EMM_AEO2022!L22</f>
        <v>MUSD2021</v>
      </c>
      <c r="P23" t="s">
        <v>92</v>
      </c>
      <c r="Q23">
        <f>NEMS_EMM_AEO2022!H22</f>
        <v>6041</v>
      </c>
      <c r="R23" s="11">
        <f>NEMS_EMM_AEO2022!I22</f>
        <v>0</v>
      </c>
      <c r="S23" s="12">
        <f>NEMS_EMM_AEO2022!J22</f>
        <v>115.16</v>
      </c>
      <c r="T23" s="11">
        <v>1</v>
      </c>
      <c r="V23" s="1">
        <v>25</v>
      </c>
      <c r="W23">
        <v>31.536000000000001</v>
      </c>
      <c r="X23" s="1">
        <v>0.5</v>
      </c>
      <c r="Z23">
        <f>NEMS_EMM_AEO2022!C22+1</f>
        <v>2026</v>
      </c>
      <c r="AB23">
        <f>NEMS_EMM_AEO2022!E22</f>
        <v>4</v>
      </c>
      <c r="AC23">
        <f>NEMS_EMM_AEO2022!D22/1000</f>
        <v>0.4</v>
      </c>
      <c r="AG23" t="s">
        <v>149</v>
      </c>
      <c r="AH23" t="s">
        <v>184</v>
      </c>
      <c r="AI23" s="7" t="s">
        <v>217</v>
      </c>
      <c r="AJ23" t="s">
        <v>38</v>
      </c>
      <c r="AK23" t="s">
        <v>194</v>
      </c>
      <c r="AL23" s="6" t="s">
        <v>188</v>
      </c>
      <c r="AO23" t="s">
        <v>88</v>
      </c>
      <c r="AP23" t="s">
        <v>87</v>
      </c>
    </row>
    <row r="24" spans="1:42" x14ac:dyDescent="0.25">
      <c r="A24" t="s">
        <v>17</v>
      </c>
      <c r="B24" t="str">
        <f t="shared" si="4"/>
        <v>E_RNW_STH_STH_01</v>
      </c>
      <c r="C24" t="str">
        <f t="shared" si="0"/>
        <v>Solar Thermal_Solar thermal</v>
      </c>
      <c r="D24" t="s">
        <v>18</v>
      </c>
      <c r="E24" t="s">
        <v>19</v>
      </c>
      <c r="F24" t="s">
        <v>20</v>
      </c>
      <c r="K24" t="str">
        <f t="shared" si="6"/>
        <v>E_RNW_STH_STH_01</v>
      </c>
      <c r="L24" t="str">
        <f t="shared" si="7"/>
        <v>Solar Thermal_Solar thermal</v>
      </c>
      <c r="M24" t="str">
        <f t="shared" si="5"/>
        <v>ELCSTH</v>
      </c>
      <c r="N24" t="s">
        <v>201</v>
      </c>
      <c r="O24" t="str">
        <f>NEMS_EMM_AEO2022!L23</f>
        <v>MUSD2021</v>
      </c>
      <c r="P24" t="s">
        <v>92</v>
      </c>
      <c r="Q24">
        <f>NEMS_EMM_AEO2022!H23</f>
        <v>7895</v>
      </c>
      <c r="R24" s="11">
        <f>NEMS_EMM_AEO2022!I23</f>
        <v>0</v>
      </c>
      <c r="S24" s="12">
        <f>NEMS_EMM_AEO2022!J23</f>
        <v>89.39</v>
      </c>
      <c r="T24" s="11">
        <v>1</v>
      </c>
      <c r="V24" s="1">
        <v>35</v>
      </c>
      <c r="W24">
        <v>31.536000000000001</v>
      </c>
      <c r="X24" s="1">
        <v>0.3</v>
      </c>
      <c r="Z24">
        <f>NEMS_EMM_AEO2022!C23+1</f>
        <v>2025</v>
      </c>
      <c r="AB24">
        <f>NEMS_EMM_AEO2022!E23</f>
        <v>3</v>
      </c>
      <c r="AC24">
        <f>NEMS_EMM_AEO2022!D23/1000</f>
        <v>0.115</v>
      </c>
      <c r="AG24" t="s">
        <v>148</v>
      </c>
      <c r="AH24" t="s">
        <v>184</v>
      </c>
      <c r="AI24" s="7" t="s">
        <v>36</v>
      </c>
      <c r="AJ24" t="s">
        <v>36</v>
      </c>
      <c r="AK24" t="s">
        <v>186</v>
      </c>
      <c r="AL24" s="6" t="s">
        <v>188</v>
      </c>
      <c r="AO24" t="s">
        <v>86</v>
      </c>
      <c r="AP24" t="s">
        <v>85</v>
      </c>
    </row>
    <row r="25" spans="1:42" x14ac:dyDescent="0.25">
      <c r="A25" t="s">
        <v>17</v>
      </c>
      <c r="B25" t="str">
        <f t="shared" si="4"/>
        <v>E_RNW_SPV_SPV_01</v>
      </c>
      <c r="C25" t="str">
        <f t="shared" si="0"/>
        <v>Solar PV_Solar photovoltaic (PV) with tracking</v>
      </c>
      <c r="D25" t="s">
        <v>18</v>
      </c>
      <c r="E25" t="s">
        <v>19</v>
      </c>
      <c r="F25" t="s">
        <v>230</v>
      </c>
      <c r="K25" t="str">
        <f t="shared" si="6"/>
        <v>E_RNW_SPV_SPV_01</v>
      </c>
      <c r="L25" t="str">
        <f t="shared" si="7"/>
        <v>Solar PV_Solar photovoltaic (PV) with tracking</v>
      </c>
      <c r="M25" t="str">
        <f t="shared" si="5"/>
        <v>ELCSPV</v>
      </c>
      <c r="N25" t="s">
        <v>231</v>
      </c>
      <c r="O25" t="str">
        <f>NEMS_EMM_AEO2022!L24</f>
        <v>MUSD2021</v>
      </c>
      <c r="P25" t="s">
        <v>92</v>
      </c>
      <c r="Q25">
        <f>NEMS_EMM_AEO2022!H24</f>
        <v>1327</v>
      </c>
      <c r="R25" s="11">
        <f>NEMS_EMM_AEO2022!I24</f>
        <v>0</v>
      </c>
      <c r="S25" s="12">
        <f>NEMS_EMM_AEO2022!J24</f>
        <v>15.97</v>
      </c>
      <c r="T25" s="11">
        <v>1</v>
      </c>
      <c r="V25" s="1">
        <v>20</v>
      </c>
      <c r="W25">
        <v>31.536000000000001</v>
      </c>
      <c r="X25" s="1">
        <v>0.11</v>
      </c>
      <c r="Z25">
        <f>NEMS_EMM_AEO2022!C24+1</f>
        <v>2024</v>
      </c>
      <c r="AB25">
        <f>NEMS_EMM_AEO2022!E24</f>
        <v>2</v>
      </c>
      <c r="AC25">
        <f>NEMS_EMM_AEO2022!D24/1000</f>
        <v>0.15</v>
      </c>
      <c r="AG25" t="s">
        <v>147</v>
      </c>
      <c r="AH25" t="s">
        <v>184</v>
      </c>
      <c r="AI25" s="7" t="s">
        <v>30</v>
      </c>
      <c r="AJ25" t="s">
        <v>30</v>
      </c>
      <c r="AK25" t="s">
        <v>195</v>
      </c>
      <c r="AL25" s="6" t="s">
        <v>188</v>
      </c>
      <c r="AO25" t="s">
        <v>84</v>
      </c>
      <c r="AP25" t="s">
        <v>83</v>
      </c>
    </row>
    <row r="26" spans="1:42" x14ac:dyDescent="0.25">
      <c r="A26" t="s">
        <v>17</v>
      </c>
      <c r="B26" t="str">
        <f t="shared" si="4"/>
        <v>E_RNW_SPV_SPS_01</v>
      </c>
      <c r="C26" t="str">
        <f t="shared" si="0"/>
        <v>Solar PV w Storage_Solar PV with storage</v>
      </c>
      <c r="D26" t="s">
        <v>18</v>
      </c>
      <c r="E26" t="s">
        <v>19</v>
      </c>
      <c r="F26" t="s">
        <v>230</v>
      </c>
      <c r="K26" t="str">
        <f t="shared" si="6"/>
        <v>E_RNW_SPV_SPS_01</v>
      </c>
      <c r="L26" t="str">
        <f t="shared" si="7"/>
        <v>Solar PV w Storage_Solar PV with storage</v>
      </c>
      <c r="M26" t="str">
        <f t="shared" si="5"/>
        <v>ELCSPV</v>
      </c>
      <c r="N26" t="s">
        <v>231</v>
      </c>
      <c r="O26" t="str">
        <f>NEMS_EMM_AEO2022!L25</f>
        <v>MUSD2021</v>
      </c>
      <c r="P26" t="s">
        <v>92</v>
      </c>
      <c r="Q26">
        <f>NEMS_EMM_AEO2022!H25</f>
        <v>1748</v>
      </c>
      <c r="R26" s="11">
        <f>NEMS_EMM_AEO2022!I25</f>
        <v>0</v>
      </c>
      <c r="S26" s="12">
        <f>NEMS_EMM_AEO2022!J25</f>
        <v>33.67</v>
      </c>
      <c r="T26" s="11">
        <v>1</v>
      </c>
      <c r="V26" s="1">
        <v>20</v>
      </c>
      <c r="W26">
        <v>31.536000000000001</v>
      </c>
      <c r="X26" s="1">
        <v>0.11</v>
      </c>
      <c r="Z26">
        <f>NEMS_EMM_AEO2022!C25+1</f>
        <v>2024</v>
      </c>
      <c r="AB26">
        <f>NEMS_EMM_AEO2022!E25</f>
        <v>2</v>
      </c>
      <c r="AC26">
        <f>NEMS_EMM_AEO2022!D25/1000</f>
        <v>0.15</v>
      </c>
      <c r="AG26" t="s">
        <v>146</v>
      </c>
      <c r="AH26" t="s">
        <v>184</v>
      </c>
      <c r="AI26" s="7" t="s">
        <v>30</v>
      </c>
      <c r="AJ26" t="s">
        <v>199</v>
      </c>
      <c r="AK26" t="s">
        <v>196</v>
      </c>
      <c r="AL26" s="6" t="s">
        <v>188</v>
      </c>
      <c r="AO26" t="s">
        <v>82</v>
      </c>
      <c r="AP26" t="s">
        <v>81</v>
      </c>
    </row>
    <row r="27" spans="1:42" x14ac:dyDescent="0.25">
      <c r="A27" t="s">
        <v>17</v>
      </c>
      <c r="B27" t="str">
        <f t="shared" si="4"/>
        <v>E_THM_MSW_MSW_01</v>
      </c>
      <c r="C27" t="s">
        <v>211</v>
      </c>
      <c r="D27" t="s">
        <v>18</v>
      </c>
      <c r="E27" t="s">
        <v>19</v>
      </c>
      <c r="F27" t="s">
        <v>20</v>
      </c>
      <c r="K27" t="str">
        <f t="shared" si="6"/>
        <v>E_THM_MSW_MSW_01</v>
      </c>
      <c r="L27" t="s">
        <v>211</v>
      </c>
      <c r="M27" t="str">
        <f t="shared" si="5"/>
        <v>ELCMSW</v>
      </c>
      <c r="N27" t="s">
        <v>201</v>
      </c>
      <c r="O27" t="str">
        <f>NEMS_EMM_AEO2022!L26</f>
        <v>MUSD2020</v>
      </c>
      <c r="P27" t="s">
        <v>92</v>
      </c>
      <c r="Q27">
        <f>NEMS_EMM_AEO2022!H26</f>
        <v>1566</v>
      </c>
      <c r="R27" s="11">
        <f>NEMS_EMM_AEO2022!I26</f>
        <v>6.23</v>
      </c>
      <c r="S27" s="12">
        <f>NEMS_EMM_AEO2022!J26</f>
        <v>20.2</v>
      </c>
      <c r="T27" s="12">
        <f>(1/(NEMS_EMM_AEO2022!K26*0.2931)*1000)</f>
        <v>0.40077585396016435</v>
      </c>
      <c r="V27">
        <v>45</v>
      </c>
      <c r="W27">
        <v>31.536000000000001</v>
      </c>
      <c r="X27">
        <v>0.85</v>
      </c>
      <c r="Z27">
        <f>NEMS_EMM_AEO2022!C26+1</f>
        <v>2024</v>
      </c>
      <c r="AB27">
        <v>4</v>
      </c>
      <c r="AC27">
        <f>NEMS_EMM_AEO2022!D26/1000</f>
        <v>3.5999999999999997E-2</v>
      </c>
      <c r="AG27" t="s">
        <v>152</v>
      </c>
      <c r="AH27" t="s">
        <v>189</v>
      </c>
      <c r="AI27" t="s">
        <v>60</v>
      </c>
      <c r="AJ27" t="s">
        <v>60</v>
      </c>
      <c r="AK27" t="s">
        <v>177</v>
      </c>
      <c r="AL27" t="s">
        <v>188</v>
      </c>
      <c r="AO27" t="s">
        <v>80</v>
      </c>
      <c r="AP27" t="s">
        <v>79</v>
      </c>
    </row>
    <row r="28" spans="1:42" x14ac:dyDescent="0.25">
      <c r="AO28" t="s">
        <v>78</v>
      </c>
      <c r="AP28" t="s">
        <v>77</v>
      </c>
    </row>
    <row r="29" spans="1:42" x14ac:dyDescent="0.25">
      <c r="AO29" t="s">
        <v>76</v>
      </c>
      <c r="AP29" t="s">
        <v>75</v>
      </c>
    </row>
    <row r="30" spans="1:42" x14ac:dyDescent="0.25">
      <c r="AO30" t="s">
        <v>74</v>
      </c>
      <c r="AP30" t="s">
        <v>73</v>
      </c>
    </row>
    <row r="31" spans="1:42" x14ac:dyDescent="0.25">
      <c r="AO31" t="s">
        <v>72</v>
      </c>
      <c r="AP31" t="s">
        <v>71</v>
      </c>
    </row>
    <row r="32" spans="1:42" x14ac:dyDescent="0.25">
      <c r="AO32" t="s">
        <v>70</v>
      </c>
      <c r="AP32" t="s">
        <v>69</v>
      </c>
    </row>
    <row r="33" spans="41:42" x14ac:dyDescent="0.25">
      <c r="AO33" t="s">
        <v>68</v>
      </c>
      <c r="AP33" t="s">
        <v>67</v>
      </c>
    </row>
    <row r="34" spans="41:42" x14ac:dyDescent="0.25">
      <c r="AO34" t="s">
        <v>66</v>
      </c>
      <c r="AP34" t="s">
        <v>65</v>
      </c>
    </row>
    <row r="35" spans="41:42" x14ac:dyDescent="0.25">
      <c r="AO35" t="s">
        <v>64</v>
      </c>
      <c r="AP35" t="s">
        <v>63</v>
      </c>
    </row>
    <row r="36" spans="41:42" x14ac:dyDescent="0.25">
      <c r="AO36" t="s">
        <v>62</v>
      </c>
      <c r="AP36" t="s">
        <v>61</v>
      </c>
    </row>
    <row r="37" spans="41:42" x14ac:dyDescent="0.25">
      <c r="AO37" t="s">
        <v>60</v>
      </c>
      <c r="AP37" t="s">
        <v>59</v>
      </c>
    </row>
    <row r="38" spans="41:42" x14ac:dyDescent="0.25">
      <c r="AO38" t="s">
        <v>58</v>
      </c>
      <c r="AP38" t="s">
        <v>57</v>
      </c>
    </row>
    <row r="39" spans="41:42" x14ac:dyDescent="0.25">
      <c r="AO39" t="s">
        <v>56</v>
      </c>
      <c r="AP39" t="s">
        <v>55</v>
      </c>
    </row>
    <row r="40" spans="41:42" x14ac:dyDescent="0.25">
      <c r="AO40" t="s">
        <v>54</v>
      </c>
      <c r="AP40" t="s">
        <v>53</v>
      </c>
    </row>
    <row r="41" spans="41:42" x14ac:dyDescent="0.25">
      <c r="AO41" t="s">
        <v>52</v>
      </c>
      <c r="AP41" t="s">
        <v>51</v>
      </c>
    </row>
    <row r="42" spans="41:42" x14ac:dyDescent="0.25">
      <c r="AO42" t="s">
        <v>50</v>
      </c>
      <c r="AP42" t="s">
        <v>49</v>
      </c>
    </row>
    <row r="43" spans="41:42" x14ac:dyDescent="0.25">
      <c r="AO43" t="s">
        <v>48</v>
      </c>
      <c r="AP43" t="s">
        <v>47</v>
      </c>
    </row>
    <row r="44" spans="41:42" x14ac:dyDescent="0.25">
      <c r="AO44" t="s">
        <v>46</v>
      </c>
      <c r="AP44" t="s">
        <v>45</v>
      </c>
    </row>
    <row r="45" spans="41:42" x14ac:dyDescent="0.25">
      <c r="AO45" t="s">
        <v>44</v>
      </c>
      <c r="AP45" t="s">
        <v>43</v>
      </c>
    </row>
    <row r="46" spans="41:42" x14ac:dyDescent="0.25">
      <c r="AO46" t="s">
        <v>42</v>
      </c>
      <c r="AP46" t="s">
        <v>41</v>
      </c>
    </row>
    <row r="47" spans="41:42" x14ac:dyDescent="0.25">
      <c r="AO47" t="s">
        <v>40</v>
      </c>
      <c r="AP47" t="s">
        <v>39</v>
      </c>
    </row>
    <row r="48" spans="41:42" x14ac:dyDescent="0.25">
      <c r="AO48" t="s">
        <v>38</v>
      </c>
      <c r="AP48" t="s">
        <v>37</v>
      </c>
    </row>
    <row r="49" spans="41:42" x14ac:dyDescent="0.25">
      <c r="AO49" t="s">
        <v>36</v>
      </c>
      <c r="AP49" t="s">
        <v>35</v>
      </c>
    </row>
    <row r="50" spans="41:42" x14ac:dyDescent="0.25">
      <c r="AO50" t="s">
        <v>34</v>
      </c>
      <c r="AP50" t="s">
        <v>33</v>
      </c>
    </row>
    <row r="51" spans="41:42" x14ac:dyDescent="0.25">
      <c r="AO51" t="s">
        <v>32</v>
      </c>
      <c r="AP51" t="s">
        <v>31</v>
      </c>
    </row>
    <row r="52" spans="41:42" x14ac:dyDescent="0.25">
      <c r="AO52" t="s">
        <v>30</v>
      </c>
      <c r="AP52" t="s">
        <v>29</v>
      </c>
    </row>
    <row r="53" spans="41:42" x14ac:dyDescent="0.25">
      <c r="AO53" t="s">
        <v>28</v>
      </c>
      <c r="AP53" t="s">
        <v>27</v>
      </c>
    </row>
    <row r="54" spans="41:42" x14ac:dyDescent="0.25">
      <c r="AO54" t="s">
        <v>26</v>
      </c>
      <c r="AP54" t="s">
        <v>25</v>
      </c>
    </row>
    <row r="55" spans="41:42" x14ac:dyDescent="0.25">
      <c r="AO55" t="s">
        <v>24</v>
      </c>
      <c r="AP55" t="s">
        <v>23</v>
      </c>
    </row>
    <row r="95" spans="11:13" x14ac:dyDescent="0.25">
      <c r="K95">
        <v>54</v>
      </c>
      <c r="L95" t="s">
        <v>22</v>
      </c>
      <c r="M95" t="s">
        <v>21</v>
      </c>
    </row>
  </sheetData>
  <phoneticPr fontId="6" type="noConversion"/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5C396-3D93-4B76-911D-3FB83A9928B7}">
  <sheetPr codeName="Sheet2">
    <tabColor theme="4"/>
  </sheetPr>
  <dimension ref="B2:L26"/>
  <sheetViews>
    <sheetView topLeftCell="F1" workbookViewId="0">
      <selection activeCell="B2" sqref="B2:L2"/>
    </sheetView>
  </sheetViews>
  <sheetFormatPr defaultRowHeight="15" x14ac:dyDescent="0.25"/>
  <cols>
    <col min="2" max="2" width="49.28515625" bestFit="1" customWidth="1"/>
    <col min="3" max="3" width="17.85546875" bestFit="1" customWidth="1"/>
    <col min="4" max="4" width="10" bestFit="1" customWidth="1"/>
    <col min="5" max="5" width="17.28515625" bestFit="1" customWidth="1"/>
    <col min="6" max="6" width="33" bestFit="1" customWidth="1"/>
    <col min="7" max="7" width="28.85546875" bestFit="1" customWidth="1"/>
    <col min="8" max="8" width="30.140625" bestFit="1" customWidth="1"/>
    <col min="9" max="9" width="8.42578125" bestFit="1" customWidth="1"/>
    <col min="10" max="10" width="26.28515625" bestFit="1" customWidth="1"/>
    <col min="11" max="11" width="19.140625" bestFit="1" customWidth="1"/>
    <col min="12" max="12" width="11" customWidth="1"/>
  </cols>
  <sheetData>
    <row r="2" spans="2:12" ht="60" x14ac:dyDescent="0.25">
      <c r="B2" s="18" t="s">
        <v>174</v>
      </c>
      <c r="C2" s="18" t="s">
        <v>173</v>
      </c>
      <c r="D2" s="18" t="s">
        <v>172</v>
      </c>
      <c r="E2" s="18" t="s">
        <v>171</v>
      </c>
      <c r="F2" s="19" t="s">
        <v>208</v>
      </c>
      <c r="G2" s="18" t="s">
        <v>170</v>
      </c>
      <c r="H2" s="18" t="s">
        <v>135</v>
      </c>
      <c r="I2" s="19" t="s">
        <v>207</v>
      </c>
      <c r="J2" s="19" t="s">
        <v>209</v>
      </c>
      <c r="K2" s="18" t="s">
        <v>169</v>
      </c>
      <c r="L2" s="18" t="s">
        <v>212</v>
      </c>
    </row>
    <row r="3" spans="2:12" x14ac:dyDescent="0.25">
      <c r="B3" t="s">
        <v>168</v>
      </c>
      <c r="C3">
        <v>2025</v>
      </c>
      <c r="D3">
        <v>650</v>
      </c>
      <c r="E3">
        <v>4</v>
      </c>
      <c r="F3" s="10">
        <v>4074</v>
      </c>
      <c r="G3">
        <v>1</v>
      </c>
      <c r="H3">
        <v>4074</v>
      </c>
      <c r="I3">
        <v>4.71</v>
      </c>
      <c r="J3">
        <v>42.49</v>
      </c>
      <c r="K3">
        <v>8638</v>
      </c>
      <c r="L3" t="s">
        <v>214</v>
      </c>
    </row>
    <row r="4" spans="2:12" x14ac:dyDescent="0.25">
      <c r="B4" t="s">
        <v>167</v>
      </c>
      <c r="C4">
        <v>2025</v>
      </c>
      <c r="D4">
        <v>650</v>
      </c>
      <c r="E4">
        <v>4</v>
      </c>
      <c r="F4" s="10">
        <v>5045</v>
      </c>
      <c r="G4">
        <v>1.01</v>
      </c>
      <c r="H4">
        <v>5096</v>
      </c>
      <c r="I4">
        <v>7.41</v>
      </c>
      <c r="J4">
        <v>56.84</v>
      </c>
      <c r="K4">
        <v>9751</v>
      </c>
      <c r="L4" t="s">
        <v>214</v>
      </c>
    </row>
    <row r="5" spans="2:12" x14ac:dyDescent="0.25">
      <c r="B5" t="s">
        <v>166</v>
      </c>
      <c r="C5">
        <v>2025</v>
      </c>
      <c r="D5">
        <v>650</v>
      </c>
      <c r="E5">
        <v>4</v>
      </c>
      <c r="F5" s="10">
        <v>6495</v>
      </c>
      <c r="G5">
        <v>1.02</v>
      </c>
      <c r="H5">
        <v>6625</v>
      </c>
      <c r="I5">
        <v>11.49</v>
      </c>
      <c r="J5">
        <v>62.34</v>
      </c>
      <c r="K5">
        <v>12507</v>
      </c>
      <c r="L5" t="s">
        <v>214</v>
      </c>
    </row>
    <row r="6" spans="2:12" x14ac:dyDescent="0.25">
      <c r="B6" t="s">
        <v>165</v>
      </c>
      <c r="C6">
        <v>2024</v>
      </c>
      <c r="D6">
        <v>418</v>
      </c>
      <c r="E6">
        <v>3</v>
      </c>
      <c r="F6" s="10">
        <v>1201</v>
      </c>
      <c r="G6">
        <v>1</v>
      </c>
      <c r="H6">
        <v>1201</v>
      </c>
      <c r="I6">
        <v>2.67</v>
      </c>
      <c r="J6">
        <v>14.76</v>
      </c>
      <c r="K6">
        <v>6431</v>
      </c>
      <c r="L6" t="s">
        <v>214</v>
      </c>
    </row>
    <row r="7" spans="2:12" x14ac:dyDescent="0.25">
      <c r="B7" t="s">
        <v>164</v>
      </c>
      <c r="C7">
        <v>2024</v>
      </c>
      <c r="D7">
        <v>1083</v>
      </c>
      <c r="E7">
        <v>3</v>
      </c>
      <c r="F7" s="10">
        <v>1062</v>
      </c>
      <c r="G7">
        <v>1</v>
      </c>
      <c r="H7">
        <v>1062</v>
      </c>
      <c r="I7">
        <v>1.96</v>
      </c>
      <c r="J7">
        <v>12.77</v>
      </c>
      <c r="K7">
        <v>6370</v>
      </c>
      <c r="L7" t="s">
        <v>214</v>
      </c>
    </row>
    <row r="8" spans="2:12" x14ac:dyDescent="0.25">
      <c r="B8" t="s">
        <v>163</v>
      </c>
      <c r="C8">
        <v>2024</v>
      </c>
      <c r="D8">
        <v>377</v>
      </c>
      <c r="E8">
        <v>3</v>
      </c>
      <c r="F8" s="10">
        <v>2736</v>
      </c>
      <c r="G8">
        <v>1.04</v>
      </c>
      <c r="H8">
        <v>2845</v>
      </c>
      <c r="I8">
        <v>6.11</v>
      </c>
      <c r="J8">
        <v>28.89</v>
      </c>
      <c r="K8">
        <v>7124</v>
      </c>
      <c r="L8" t="s">
        <v>214</v>
      </c>
    </row>
    <row r="9" spans="2:12" x14ac:dyDescent="0.25">
      <c r="B9" t="s">
        <v>162</v>
      </c>
      <c r="C9">
        <v>2023</v>
      </c>
      <c r="D9">
        <v>21</v>
      </c>
      <c r="E9">
        <v>2</v>
      </c>
      <c r="F9" s="10">
        <v>2018</v>
      </c>
      <c r="G9">
        <v>1</v>
      </c>
      <c r="H9">
        <v>2018</v>
      </c>
      <c r="I9">
        <v>5.96</v>
      </c>
      <c r="J9">
        <v>36.81</v>
      </c>
      <c r="K9">
        <v>8295</v>
      </c>
      <c r="L9" t="s">
        <v>214</v>
      </c>
    </row>
    <row r="10" spans="2:12" x14ac:dyDescent="0.25">
      <c r="B10" s="2" t="s">
        <v>161</v>
      </c>
      <c r="C10">
        <v>2023</v>
      </c>
      <c r="D10">
        <v>105</v>
      </c>
      <c r="E10">
        <v>2</v>
      </c>
      <c r="F10" s="10">
        <v>1294</v>
      </c>
      <c r="G10">
        <v>1</v>
      </c>
      <c r="H10">
        <v>1294</v>
      </c>
      <c r="I10">
        <v>4.92</v>
      </c>
      <c r="J10">
        <v>17.059999999999999</v>
      </c>
      <c r="K10">
        <v>9124</v>
      </c>
      <c r="L10" t="s">
        <v>214</v>
      </c>
    </row>
    <row r="11" spans="2:12" x14ac:dyDescent="0.25">
      <c r="B11" t="s">
        <v>160</v>
      </c>
      <c r="C11">
        <v>2023</v>
      </c>
      <c r="D11">
        <v>237</v>
      </c>
      <c r="E11">
        <v>2</v>
      </c>
      <c r="F11">
        <v>785</v>
      </c>
      <c r="G11">
        <v>1</v>
      </c>
      <c r="H11">
        <v>785</v>
      </c>
      <c r="I11">
        <v>4.71</v>
      </c>
      <c r="J11">
        <v>7.33</v>
      </c>
      <c r="K11">
        <v>9905</v>
      </c>
      <c r="L11" t="s">
        <v>214</v>
      </c>
    </row>
    <row r="12" spans="2:12" x14ac:dyDescent="0.25">
      <c r="B12" t="s">
        <v>159</v>
      </c>
      <c r="C12">
        <v>2024</v>
      </c>
      <c r="D12">
        <v>10</v>
      </c>
      <c r="E12">
        <v>3</v>
      </c>
      <c r="F12" s="10">
        <v>6639</v>
      </c>
      <c r="G12">
        <v>1.0900000000000001</v>
      </c>
      <c r="H12">
        <v>7224</v>
      </c>
      <c r="I12">
        <v>0.62</v>
      </c>
      <c r="J12">
        <v>32.229999999999997</v>
      </c>
      <c r="K12">
        <v>6469</v>
      </c>
      <c r="L12" t="s">
        <v>214</v>
      </c>
    </row>
    <row r="13" spans="2:12" x14ac:dyDescent="0.25">
      <c r="B13" t="s">
        <v>158</v>
      </c>
      <c r="C13">
        <v>2027</v>
      </c>
      <c r="D13">
        <v>2156</v>
      </c>
      <c r="E13">
        <v>6</v>
      </c>
      <c r="F13" s="10">
        <v>6695</v>
      </c>
      <c r="G13">
        <v>1.05</v>
      </c>
      <c r="H13">
        <v>7030</v>
      </c>
      <c r="I13">
        <v>2.48</v>
      </c>
      <c r="J13">
        <v>127.35</v>
      </c>
      <c r="K13">
        <v>10443</v>
      </c>
      <c r="L13" t="s">
        <v>214</v>
      </c>
    </row>
    <row r="14" spans="2:12" x14ac:dyDescent="0.25">
      <c r="B14" t="s">
        <v>157</v>
      </c>
      <c r="C14">
        <v>2028</v>
      </c>
      <c r="D14">
        <v>600</v>
      </c>
      <c r="E14">
        <v>6</v>
      </c>
      <c r="F14" s="10">
        <v>6861</v>
      </c>
      <c r="G14">
        <v>1.1000000000000001</v>
      </c>
      <c r="H14">
        <v>7547</v>
      </c>
      <c r="I14">
        <v>3.14</v>
      </c>
      <c r="J14">
        <v>99.46</v>
      </c>
      <c r="K14">
        <v>10443</v>
      </c>
      <c r="L14" t="s">
        <v>214</v>
      </c>
    </row>
    <row r="15" spans="2:12" x14ac:dyDescent="0.25">
      <c r="B15" t="s">
        <v>156</v>
      </c>
      <c r="C15">
        <v>2024</v>
      </c>
      <c r="D15">
        <v>2</v>
      </c>
      <c r="E15">
        <v>3</v>
      </c>
      <c r="F15" s="10">
        <v>1731</v>
      </c>
      <c r="G15">
        <v>1</v>
      </c>
      <c r="H15">
        <v>1731</v>
      </c>
      <c r="I15">
        <v>9.01</v>
      </c>
      <c r="J15">
        <v>20.27</v>
      </c>
      <c r="K15">
        <v>8923</v>
      </c>
      <c r="L15" t="s">
        <v>214</v>
      </c>
    </row>
    <row r="16" spans="2:12" x14ac:dyDescent="0.25">
      <c r="B16" t="s">
        <v>155</v>
      </c>
      <c r="C16">
        <v>2023</v>
      </c>
      <c r="D16">
        <v>1</v>
      </c>
      <c r="E16">
        <v>2</v>
      </c>
      <c r="F16" s="10">
        <v>2079</v>
      </c>
      <c r="G16">
        <v>1</v>
      </c>
      <c r="H16">
        <v>2079</v>
      </c>
      <c r="I16">
        <v>9.01</v>
      </c>
      <c r="J16">
        <v>20.27</v>
      </c>
      <c r="K16">
        <v>9907</v>
      </c>
      <c r="L16" t="s">
        <v>214</v>
      </c>
    </row>
    <row r="17" spans="2:12" x14ac:dyDescent="0.25">
      <c r="B17" t="s">
        <v>154</v>
      </c>
      <c r="C17">
        <v>2022</v>
      </c>
      <c r="D17">
        <v>50</v>
      </c>
      <c r="E17">
        <v>1</v>
      </c>
      <c r="F17" s="10">
        <v>1316</v>
      </c>
      <c r="G17">
        <v>1</v>
      </c>
      <c r="H17">
        <v>1316</v>
      </c>
      <c r="I17">
        <v>0</v>
      </c>
      <c r="J17">
        <v>25.96</v>
      </c>
      <c r="K17" t="s">
        <v>145</v>
      </c>
      <c r="L17" t="s">
        <v>214</v>
      </c>
    </row>
    <row r="18" spans="2:12" x14ac:dyDescent="0.25">
      <c r="B18" t="s">
        <v>153</v>
      </c>
      <c r="C18">
        <v>2025</v>
      </c>
      <c r="D18">
        <v>50</v>
      </c>
      <c r="E18">
        <v>4</v>
      </c>
      <c r="F18" s="10">
        <v>4524</v>
      </c>
      <c r="G18">
        <v>1</v>
      </c>
      <c r="H18">
        <v>4525</v>
      </c>
      <c r="I18">
        <v>5.0599999999999996</v>
      </c>
      <c r="J18">
        <v>131.62</v>
      </c>
      <c r="K18">
        <v>13500</v>
      </c>
      <c r="L18" t="s">
        <v>214</v>
      </c>
    </row>
    <row r="19" spans="2:12" x14ac:dyDescent="0.25">
      <c r="B19" t="s">
        <v>63</v>
      </c>
      <c r="C19">
        <v>2025</v>
      </c>
      <c r="D19">
        <v>50</v>
      </c>
      <c r="E19">
        <v>4</v>
      </c>
      <c r="F19" s="10">
        <v>3076</v>
      </c>
      <c r="G19">
        <v>1</v>
      </c>
      <c r="H19">
        <v>3076</v>
      </c>
      <c r="I19">
        <v>1.21</v>
      </c>
      <c r="J19">
        <v>143.22</v>
      </c>
      <c r="K19">
        <v>8813</v>
      </c>
      <c r="L19" t="s">
        <v>214</v>
      </c>
    </row>
    <row r="20" spans="2:12" x14ac:dyDescent="0.25">
      <c r="B20" t="s">
        <v>151</v>
      </c>
      <c r="C20">
        <v>2025</v>
      </c>
      <c r="D20">
        <v>100</v>
      </c>
      <c r="E20">
        <v>4</v>
      </c>
      <c r="F20" s="10">
        <v>3083</v>
      </c>
      <c r="G20">
        <v>1</v>
      </c>
      <c r="H20">
        <v>3083</v>
      </c>
      <c r="I20">
        <v>1.46</v>
      </c>
      <c r="J20">
        <v>43.78</v>
      </c>
      <c r="K20" t="s">
        <v>145</v>
      </c>
      <c r="L20" t="s">
        <v>214</v>
      </c>
    </row>
    <row r="21" spans="2:12" x14ac:dyDescent="0.25">
      <c r="B21" t="s">
        <v>150</v>
      </c>
      <c r="C21">
        <v>2024</v>
      </c>
      <c r="D21">
        <v>200</v>
      </c>
      <c r="E21">
        <v>3</v>
      </c>
      <c r="F21" s="10">
        <v>1718</v>
      </c>
      <c r="G21">
        <v>1</v>
      </c>
      <c r="H21">
        <v>1718</v>
      </c>
      <c r="I21">
        <v>0</v>
      </c>
      <c r="J21">
        <v>27.57</v>
      </c>
      <c r="K21" t="s">
        <v>145</v>
      </c>
      <c r="L21" t="s">
        <v>214</v>
      </c>
    </row>
    <row r="22" spans="2:12" x14ac:dyDescent="0.25">
      <c r="B22" t="s">
        <v>149</v>
      </c>
      <c r="C22">
        <v>2025</v>
      </c>
      <c r="D22">
        <v>400</v>
      </c>
      <c r="E22">
        <v>4</v>
      </c>
      <c r="F22" s="10">
        <v>4833</v>
      </c>
      <c r="G22">
        <v>1.25</v>
      </c>
      <c r="H22">
        <v>6041</v>
      </c>
      <c r="I22">
        <v>0</v>
      </c>
      <c r="J22">
        <v>115.16</v>
      </c>
      <c r="K22" t="s">
        <v>145</v>
      </c>
      <c r="L22" t="s">
        <v>214</v>
      </c>
    </row>
    <row r="23" spans="2:12" x14ac:dyDescent="0.25">
      <c r="B23" t="s">
        <v>148</v>
      </c>
      <c r="C23">
        <v>2024</v>
      </c>
      <c r="D23">
        <v>115</v>
      </c>
      <c r="E23">
        <v>3</v>
      </c>
      <c r="F23" s="10">
        <v>7895</v>
      </c>
      <c r="G23">
        <v>1</v>
      </c>
      <c r="H23">
        <v>7895</v>
      </c>
      <c r="I23">
        <v>0</v>
      </c>
      <c r="J23">
        <v>89.39</v>
      </c>
      <c r="K23" t="s">
        <v>145</v>
      </c>
      <c r="L23" t="s">
        <v>214</v>
      </c>
    </row>
    <row r="24" spans="2:12" x14ac:dyDescent="0.25">
      <c r="B24" t="s">
        <v>147</v>
      </c>
      <c r="C24">
        <v>2023</v>
      </c>
      <c r="D24">
        <v>150</v>
      </c>
      <c r="E24">
        <v>2</v>
      </c>
      <c r="F24" s="10">
        <v>1327</v>
      </c>
      <c r="G24">
        <v>1</v>
      </c>
      <c r="H24">
        <v>1327</v>
      </c>
      <c r="I24">
        <v>0</v>
      </c>
      <c r="J24">
        <v>15.97</v>
      </c>
      <c r="K24" t="s">
        <v>145</v>
      </c>
      <c r="L24" t="s">
        <v>214</v>
      </c>
    </row>
    <row r="25" spans="2:12" x14ac:dyDescent="0.25">
      <c r="B25" t="s">
        <v>146</v>
      </c>
      <c r="C25">
        <v>2023</v>
      </c>
      <c r="D25">
        <v>150</v>
      </c>
      <c r="E25">
        <v>2</v>
      </c>
      <c r="F25" s="10">
        <v>1748</v>
      </c>
      <c r="G25">
        <v>1</v>
      </c>
      <c r="H25">
        <v>1748</v>
      </c>
      <c r="I25">
        <v>0</v>
      </c>
      <c r="J25">
        <v>33.67</v>
      </c>
      <c r="K25" t="s">
        <v>145</v>
      </c>
      <c r="L25" t="s">
        <v>214</v>
      </c>
    </row>
    <row r="26" spans="2:12" x14ac:dyDescent="0.25">
      <c r="B26" t="s">
        <v>152</v>
      </c>
      <c r="C26">
        <v>2023</v>
      </c>
      <c r="D26">
        <v>36</v>
      </c>
      <c r="E26">
        <v>3</v>
      </c>
      <c r="F26">
        <v>1566</v>
      </c>
      <c r="G26">
        <v>1</v>
      </c>
      <c r="H26">
        <v>1566</v>
      </c>
      <c r="I26">
        <v>6.23</v>
      </c>
      <c r="J26">
        <v>20.2</v>
      </c>
      <c r="K26">
        <v>8513</v>
      </c>
      <c r="L26" t="s">
        <v>215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DC38A-4E21-4D21-BD75-DCF74B638E51}">
  <sheetPr codeName="Sheet3">
    <tabColor theme="4"/>
  </sheetPr>
  <dimension ref="A2:D55"/>
  <sheetViews>
    <sheetView workbookViewId="0">
      <selection activeCell="F7" sqref="F7"/>
    </sheetView>
  </sheetViews>
  <sheetFormatPr defaultColWidth="9.140625" defaultRowHeight="15" x14ac:dyDescent="0.25"/>
  <cols>
    <col min="1" max="1" width="12.28515625" bestFit="1" customWidth="1"/>
    <col min="2" max="2" width="21" bestFit="1" customWidth="1"/>
    <col min="3" max="3" width="31.85546875" bestFit="1" customWidth="1"/>
    <col min="4" max="4" width="5.140625" bestFit="1" customWidth="1"/>
  </cols>
  <sheetData>
    <row r="2" spans="1:4" x14ac:dyDescent="0.25">
      <c r="A2" s="18" t="s">
        <v>176</v>
      </c>
      <c r="B2" s="18" t="s">
        <v>130</v>
      </c>
      <c r="C2" s="18" t="s">
        <v>129</v>
      </c>
      <c r="D2" s="18" t="s">
        <v>175</v>
      </c>
    </row>
    <row r="3" spans="1:4" x14ac:dyDescent="0.25">
      <c r="A3">
        <v>1</v>
      </c>
      <c r="B3" t="s">
        <v>128</v>
      </c>
      <c r="C3" t="s">
        <v>127</v>
      </c>
      <c r="D3">
        <v>0</v>
      </c>
    </row>
    <row r="4" spans="1:4" x14ac:dyDescent="0.25">
      <c r="A4">
        <v>2</v>
      </c>
      <c r="B4" t="s">
        <v>126</v>
      </c>
      <c r="C4" t="s">
        <v>125</v>
      </c>
      <c r="D4">
        <v>0</v>
      </c>
    </row>
    <row r="5" spans="1:4" x14ac:dyDescent="0.25">
      <c r="A5">
        <v>3</v>
      </c>
      <c r="B5" t="s">
        <v>124</v>
      </c>
      <c r="C5" t="s">
        <v>123</v>
      </c>
      <c r="D5">
        <v>0</v>
      </c>
    </row>
    <row r="6" spans="1:4" x14ac:dyDescent="0.25">
      <c r="A6">
        <v>4</v>
      </c>
      <c r="B6" t="s">
        <v>122</v>
      </c>
      <c r="C6" t="s">
        <v>121</v>
      </c>
      <c r="D6">
        <v>1</v>
      </c>
    </row>
    <row r="7" spans="1:4" x14ac:dyDescent="0.25">
      <c r="A7">
        <v>5</v>
      </c>
      <c r="B7" t="s">
        <v>120</v>
      </c>
      <c r="C7" t="s">
        <v>119</v>
      </c>
      <c r="D7">
        <v>1</v>
      </c>
    </row>
    <row r="8" spans="1:4" x14ac:dyDescent="0.25">
      <c r="A8">
        <v>6</v>
      </c>
      <c r="B8" t="s">
        <v>118</v>
      </c>
      <c r="C8" t="s">
        <v>117</v>
      </c>
      <c r="D8">
        <v>1</v>
      </c>
    </row>
    <row r="9" spans="1:4" x14ac:dyDescent="0.25">
      <c r="A9">
        <v>7</v>
      </c>
      <c r="B9" t="s">
        <v>116</v>
      </c>
      <c r="C9" t="s">
        <v>115</v>
      </c>
      <c r="D9">
        <v>0</v>
      </c>
    </row>
    <row r="10" spans="1:4" x14ac:dyDescent="0.25">
      <c r="A10">
        <v>8</v>
      </c>
      <c r="B10" t="s">
        <v>114</v>
      </c>
      <c r="C10" t="s">
        <v>113</v>
      </c>
      <c r="D10">
        <v>1</v>
      </c>
    </row>
    <row r="11" spans="1:4" x14ac:dyDescent="0.25">
      <c r="A11">
        <v>9</v>
      </c>
      <c r="B11" t="s">
        <v>112</v>
      </c>
      <c r="C11" t="s">
        <v>111</v>
      </c>
      <c r="D11">
        <v>1</v>
      </c>
    </row>
    <row r="12" spans="1:4" x14ac:dyDescent="0.25">
      <c r="A12">
        <v>10</v>
      </c>
      <c r="B12" t="s">
        <v>110</v>
      </c>
      <c r="C12" t="s">
        <v>109</v>
      </c>
      <c r="D12">
        <v>1</v>
      </c>
    </row>
    <row r="13" spans="1:4" x14ac:dyDescent="0.25">
      <c r="A13">
        <v>11</v>
      </c>
      <c r="B13" t="s">
        <v>108</v>
      </c>
      <c r="C13" t="s">
        <v>107</v>
      </c>
      <c r="D13">
        <v>0</v>
      </c>
    </row>
    <row r="14" spans="1:4" x14ac:dyDescent="0.25">
      <c r="A14">
        <v>12</v>
      </c>
      <c r="B14" t="s">
        <v>106</v>
      </c>
      <c r="C14" t="s">
        <v>105</v>
      </c>
      <c r="D14">
        <v>0</v>
      </c>
    </row>
    <row r="15" spans="1:4" x14ac:dyDescent="0.25">
      <c r="A15">
        <v>13</v>
      </c>
      <c r="B15" t="s">
        <v>104</v>
      </c>
      <c r="C15" t="s">
        <v>103</v>
      </c>
      <c r="D15">
        <v>0</v>
      </c>
    </row>
    <row r="16" spans="1:4" x14ac:dyDescent="0.25">
      <c r="A16">
        <v>14</v>
      </c>
      <c r="B16" t="s">
        <v>102</v>
      </c>
      <c r="C16" t="s">
        <v>101</v>
      </c>
      <c r="D16">
        <v>0</v>
      </c>
    </row>
    <row r="17" spans="1:4" x14ac:dyDescent="0.25">
      <c r="A17">
        <v>15</v>
      </c>
      <c r="B17" t="s">
        <v>100</v>
      </c>
      <c r="C17" t="s">
        <v>99</v>
      </c>
      <c r="D17">
        <v>0</v>
      </c>
    </row>
    <row r="18" spans="1:4" x14ac:dyDescent="0.25">
      <c r="A18">
        <v>16</v>
      </c>
      <c r="B18" t="s">
        <v>98</v>
      </c>
      <c r="C18" t="s">
        <v>97</v>
      </c>
      <c r="D18">
        <v>0</v>
      </c>
    </row>
    <row r="19" spans="1:4" x14ac:dyDescent="0.25">
      <c r="A19">
        <v>17</v>
      </c>
      <c r="B19" t="s">
        <v>96</v>
      </c>
      <c r="C19" t="s">
        <v>95</v>
      </c>
      <c r="D19">
        <v>0</v>
      </c>
    </row>
    <row r="20" spans="1:4" x14ac:dyDescent="0.25">
      <c r="A20">
        <v>18</v>
      </c>
      <c r="B20" t="s">
        <v>94</v>
      </c>
      <c r="C20" t="s">
        <v>93</v>
      </c>
      <c r="D20">
        <v>0</v>
      </c>
    </row>
    <row r="21" spans="1:4" x14ac:dyDescent="0.25">
      <c r="A21">
        <v>19</v>
      </c>
      <c r="B21" t="s">
        <v>92</v>
      </c>
      <c r="C21" t="s">
        <v>91</v>
      </c>
      <c r="D21">
        <v>0</v>
      </c>
    </row>
    <row r="22" spans="1:4" x14ac:dyDescent="0.25">
      <c r="A22">
        <v>20</v>
      </c>
      <c r="B22" t="s">
        <v>90</v>
      </c>
      <c r="C22" t="s">
        <v>89</v>
      </c>
      <c r="D22">
        <v>0</v>
      </c>
    </row>
    <row r="23" spans="1:4" x14ac:dyDescent="0.25">
      <c r="A23">
        <v>21</v>
      </c>
      <c r="B23" t="s">
        <v>88</v>
      </c>
      <c r="C23" t="s">
        <v>87</v>
      </c>
      <c r="D23">
        <v>0</v>
      </c>
    </row>
    <row r="24" spans="1:4" x14ac:dyDescent="0.25">
      <c r="A24">
        <v>22</v>
      </c>
      <c r="B24" t="s">
        <v>86</v>
      </c>
      <c r="C24" t="s">
        <v>85</v>
      </c>
      <c r="D24">
        <v>0</v>
      </c>
    </row>
    <row r="25" spans="1:4" x14ac:dyDescent="0.25">
      <c r="A25">
        <v>23</v>
      </c>
      <c r="B25" t="s">
        <v>84</v>
      </c>
      <c r="C25" t="s">
        <v>83</v>
      </c>
      <c r="D25">
        <v>0</v>
      </c>
    </row>
    <row r="26" spans="1:4" x14ac:dyDescent="0.25">
      <c r="A26">
        <v>24</v>
      </c>
      <c r="B26" t="s">
        <v>82</v>
      </c>
      <c r="C26" t="s">
        <v>81</v>
      </c>
      <c r="D26">
        <v>1</v>
      </c>
    </row>
    <row r="27" spans="1:4" x14ac:dyDescent="0.25">
      <c r="A27">
        <v>25</v>
      </c>
      <c r="B27" t="s">
        <v>80</v>
      </c>
      <c r="C27" t="s">
        <v>79</v>
      </c>
      <c r="D27">
        <v>1</v>
      </c>
    </row>
    <row r="28" spans="1:4" x14ac:dyDescent="0.25">
      <c r="A28">
        <v>26</v>
      </c>
      <c r="B28" t="s">
        <v>78</v>
      </c>
      <c r="C28" t="s">
        <v>77</v>
      </c>
      <c r="D28">
        <v>1</v>
      </c>
    </row>
    <row r="29" spans="1:4" x14ac:dyDescent="0.25">
      <c r="A29">
        <v>27</v>
      </c>
      <c r="B29" t="s">
        <v>76</v>
      </c>
      <c r="C29" t="s">
        <v>75</v>
      </c>
      <c r="D29">
        <v>0</v>
      </c>
    </row>
    <row r="30" spans="1:4" x14ac:dyDescent="0.25">
      <c r="A30">
        <v>28</v>
      </c>
      <c r="B30" t="s">
        <v>74</v>
      </c>
      <c r="C30" t="s">
        <v>73</v>
      </c>
      <c r="D30">
        <v>1</v>
      </c>
    </row>
    <row r="31" spans="1:4" x14ac:dyDescent="0.25">
      <c r="A31">
        <v>29</v>
      </c>
      <c r="B31" t="s">
        <v>72</v>
      </c>
      <c r="C31" t="s">
        <v>71</v>
      </c>
      <c r="D31">
        <v>1</v>
      </c>
    </row>
    <row r="32" spans="1:4" x14ac:dyDescent="0.25">
      <c r="A32">
        <v>30</v>
      </c>
      <c r="B32" t="s">
        <v>70</v>
      </c>
      <c r="C32" t="s">
        <v>69</v>
      </c>
      <c r="D32">
        <v>1</v>
      </c>
    </row>
    <row r="33" spans="1:3" x14ac:dyDescent="0.25">
      <c r="A33">
        <v>31</v>
      </c>
      <c r="B33" t="s">
        <v>68</v>
      </c>
      <c r="C33" t="s">
        <v>67</v>
      </c>
    </row>
    <row r="34" spans="1:3" x14ac:dyDescent="0.25">
      <c r="A34">
        <v>32</v>
      </c>
      <c r="B34" t="s">
        <v>66</v>
      </c>
      <c r="C34" t="s">
        <v>65</v>
      </c>
    </row>
    <row r="35" spans="1:3" x14ac:dyDescent="0.25">
      <c r="A35">
        <v>33</v>
      </c>
      <c r="B35" t="s">
        <v>64</v>
      </c>
      <c r="C35" t="s">
        <v>63</v>
      </c>
    </row>
    <row r="36" spans="1:3" x14ac:dyDescent="0.25">
      <c r="A36">
        <v>34</v>
      </c>
      <c r="B36" t="s">
        <v>62</v>
      </c>
      <c r="C36" t="s">
        <v>61</v>
      </c>
    </row>
    <row r="37" spans="1:3" x14ac:dyDescent="0.25">
      <c r="A37">
        <v>35</v>
      </c>
      <c r="B37" t="s">
        <v>60</v>
      </c>
      <c r="C37" t="s">
        <v>59</v>
      </c>
    </row>
    <row r="38" spans="1:3" x14ac:dyDescent="0.25">
      <c r="A38">
        <v>36</v>
      </c>
      <c r="B38" t="s">
        <v>58</v>
      </c>
      <c r="C38" t="s">
        <v>57</v>
      </c>
    </row>
    <row r="39" spans="1:3" x14ac:dyDescent="0.25">
      <c r="A39">
        <v>37</v>
      </c>
      <c r="B39" t="s">
        <v>56</v>
      </c>
      <c r="C39" t="s">
        <v>55</v>
      </c>
    </row>
    <row r="40" spans="1:3" x14ac:dyDescent="0.25">
      <c r="A40">
        <v>38</v>
      </c>
      <c r="B40" t="s">
        <v>54</v>
      </c>
      <c r="C40" t="s">
        <v>53</v>
      </c>
    </row>
    <row r="41" spans="1:3" x14ac:dyDescent="0.25">
      <c r="A41">
        <v>39</v>
      </c>
      <c r="B41" t="s">
        <v>52</v>
      </c>
      <c r="C41" t="s">
        <v>51</v>
      </c>
    </row>
    <row r="42" spans="1:3" x14ac:dyDescent="0.25">
      <c r="A42">
        <v>40</v>
      </c>
      <c r="B42" t="s">
        <v>50</v>
      </c>
      <c r="C42" t="s">
        <v>49</v>
      </c>
    </row>
    <row r="43" spans="1:3" x14ac:dyDescent="0.25">
      <c r="A43">
        <v>41</v>
      </c>
      <c r="B43" t="s">
        <v>48</v>
      </c>
      <c r="C43" t="s">
        <v>47</v>
      </c>
    </row>
    <row r="44" spans="1:3" x14ac:dyDescent="0.25">
      <c r="A44">
        <v>42</v>
      </c>
      <c r="B44" t="s">
        <v>46</v>
      </c>
      <c r="C44" t="s">
        <v>45</v>
      </c>
    </row>
    <row r="45" spans="1:3" x14ac:dyDescent="0.25">
      <c r="A45">
        <v>43</v>
      </c>
      <c r="B45" t="s">
        <v>44</v>
      </c>
      <c r="C45" t="s">
        <v>43</v>
      </c>
    </row>
    <row r="46" spans="1:3" x14ac:dyDescent="0.25">
      <c r="A46">
        <v>44</v>
      </c>
      <c r="B46" t="s">
        <v>42</v>
      </c>
      <c r="C46" t="s">
        <v>41</v>
      </c>
    </row>
    <row r="47" spans="1:3" x14ac:dyDescent="0.25">
      <c r="A47">
        <v>45</v>
      </c>
      <c r="B47" t="s">
        <v>40</v>
      </c>
      <c r="C47" t="s">
        <v>39</v>
      </c>
    </row>
    <row r="48" spans="1:3" x14ac:dyDescent="0.25">
      <c r="A48">
        <v>46</v>
      </c>
      <c r="B48" t="s">
        <v>38</v>
      </c>
      <c r="C48" t="s">
        <v>37</v>
      </c>
    </row>
    <row r="49" spans="1:3" x14ac:dyDescent="0.25">
      <c r="A49">
        <v>47</v>
      </c>
      <c r="B49" t="s">
        <v>36</v>
      </c>
      <c r="C49" t="s">
        <v>35</v>
      </c>
    </row>
    <row r="50" spans="1:3" x14ac:dyDescent="0.25">
      <c r="A50">
        <v>48</v>
      </c>
      <c r="B50" t="s">
        <v>34</v>
      </c>
      <c r="C50" t="s">
        <v>33</v>
      </c>
    </row>
    <row r="51" spans="1:3" x14ac:dyDescent="0.25">
      <c r="A51">
        <v>49</v>
      </c>
      <c r="B51" t="s">
        <v>32</v>
      </c>
      <c r="C51" t="s">
        <v>31</v>
      </c>
    </row>
    <row r="52" spans="1:3" x14ac:dyDescent="0.25">
      <c r="A52">
        <v>50</v>
      </c>
      <c r="B52" t="s">
        <v>30</v>
      </c>
      <c r="C52" t="s">
        <v>29</v>
      </c>
    </row>
    <row r="53" spans="1:3" x14ac:dyDescent="0.25">
      <c r="A53">
        <v>51</v>
      </c>
      <c r="B53" t="s">
        <v>28</v>
      </c>
      <c r="C53" t="s">
        <v>27</v>
      </c>
    </row>
    <row r="54" spans="1:3" x14ac:dyDescent="0.25">
      <c r="A54">
        <v>52</v>
      </c>
      <c r="B54" t="s">
        <v>26</v>
      </c>
      <c r="C54" t="s">
        <v>25</v>
      </c>
    </row>
    <row r="55" spans="1:3" x14ac:dyDescent="0.25">
      <c r="A55">
        <v>53</v>
      </c>
      <c r="B55" t="s">
        <v>24</v>
      </c>
      <c r="C5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ELC_NEW_GENERATORS</vt:lpstr>
      <vt:lpstr>NEMS_EMM_AEO2022</vt:lpstr>
      <vt:lpstr>NEMS_EMM PROCESSES_TECH_OPTIONS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Glynn</dc:creator>
  <cp:lastModifiedBy>James GLYNN</cp:lastModifiedBy>
  <dcterms:created xsi:type="dcterms:W3CDTF">2015-06-05T18:17:20Z</dcterms:created>
  <dcterms:modified xsi:type="dcterms:W3CDTF">2026-01-30T12:41:25Z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90612292289733</vt:r8>
  </property>
</Properties>
</file>